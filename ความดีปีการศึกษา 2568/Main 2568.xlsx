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ชีต5" sheetId="2" r:id="rId6"/>
    <sheet state="visible" name="ชีต8" sheetId="3" r:id="rId7"/>
    <sheet state="visible" name="ชีต7" sheetId="4" r:id="rId8"/>
    <sheet state="visible" name="ชีต6" sheetId="5" r:id="rId9"/>
  </sheets>
  <definedNames/>
  <calcPr/>
</workbook>
</file>

<file path=xl/sharedStrings.xml><?xml version="1.0" encoding="utf-8"?>
<sst xmlns="http://schemas.openxmlformats.org/spreadsheetml/2006/main" count="1517" uniqueCount="562">
  <si>
    <t>ฐานข้อมูลบันทึกความดี นักเรียนพยาบาลทหารอากาศ ประจำปี 2568</t>
  </si>
  <si>
    <t>รหัส นพอ.</t>
  </si>
  <si>
    <t>รูปประจำตัว นพอ.</t>
  </si>
  <si>
    <t>ยศ</t>
  </si>
  <si>
    <t>ชื่อ - สกุล</t>
  </si>
  <si>
    <t>ชั่วโมงความดีทั้ง 9 ประเภท</t>
  </si>
  <si>
    <t>ผลรวมชั่วโมง ประจำปี 68</t>
  </si>
  <si>
    <t>หมายเหตุ</t>
  </si>
  <si>
    <t>อัปเดตข้อมูลล่าสุดเมื่อ</t>
  </si>
  <si>
    <t>ชั่วโมงพิเศษ สำหรับ</t>
  </si>
  <si>
    <t>ปรับปรุงภูมิทัศน์วพอ.พอ.</t>
  </si>
  <si>
    <t>รวม ชม. ตลอด 4ปี</t>
  </si>
  <si>
    <t>ชม. ปี 64</t>
  </si>
  <si>
    <t>ชม. ปี 65</t>
  </si>
  <si>
    <t>ชม. ปี 66</t>
  </si>
  <si>
    <t>ชม. ปี 67</t>
  </si>
  <si>
    <t>บริจาคโลหิต/เกล็ดเลือด/พลาสมา</t>
  </si>
  <si>
    <t>โครงการภายนอก ที่ออกคำสั่งจาก วพอ.</t>
  </si>
  <si>
    <t>ช่วยเหลืองานภายใน วพอ.</t>
  </si>
  <si>
    <t>เข้าอบรม ต่างๆ ที่ทางวพอ.จัดให้ไป</t>
  </si>
  <si>
    <t>ช่วยงานหน่วยงาน ชุมชน หรือ มูลนิธิ</t>
  </si>
  <si>
    <t>ทำนุบำรุงศาสนสถาน</t>
  </si>
  <si>
    <t>งานฟรีทั่วไป</t>
  </si>
  <si>
    <t>กิจกรรมแสดงความจงรักภักดีต่อสถาบันพระมหากษัตริย์</t>
  </si>
  <si>
    <t>ชั่วโมงความดีที่สมควรได้รับ</t>
  </si>
  <si>
    <t>นพอ.ที่มีหน้าที่ที่สมควรได้รับ ชม. เพิ่มเติม ปี 2566</t>
  </si>
  <si>
    <t>นพอ.ที่มีหน้าที่ที่สมควรได้รับ ชม. เพิ่มเติม ปี 2567</t>
  </si>
  <si>
    <t>นักเรียนพยาบาลทหารอากาศรุ่นที่ 65</t>
  </si>
  <si>
    <t>https://drive.google.com/file/d/1Hq061LfTAM_l0FZDl2p4NJQ1AvMhDmQf/view?usp=drivesdk</t>
  </si>
  <si>
    <t>นพอ.</t>
  </si>
  <si>
    <t>กนกวรรณ ข่าขันมะลี</t>
  </si>
  <si>
    <t>https://drive.google.com/file/d/18hM_lz2F_zjt7HSlhPNKTGo-5MFZ_-WQ/view?usp=drivesdk</t>
  </si>
  <si>
    <t>นพอ.(ช)</t>
  </si>
  <si>
    <t>กอปรทรัพย์ ธุรารัตน์</t>
  </si>
  <si>
    <t>น.แอดมิน</t>
  </si>
  <si>
    <t>https://drive.google.com/file/d/1KSM22Fj_VNDktDcjHkWRbqLTahFjuLZG/view?usp=drivesdk</t>
  </si>
  <si>
    <t>กัณฐิกา กุญชร</t>
  </si>
  <si>
    <t>นักเรียนปกครอง</t>
  </si>
  <si>
    <t>https://drive.google.com/file/d/10gK9iXvgvgZJpiUYAoVdYArsSDfuclFP/view?usp=drivesdk</t>
  </si>
  <si>
    <t>กัลยกร บุญลา</t>
  </si>
  <si>
    <t>https://drive.google.com/file/d/1mnElq3vZJ4VmMHwM8xhtLkXw56OBBy9a/view?usp=drivesdk</t>
  </si>
  <si>
    <t>กุลธิดา ชัยนิสงค์</t>
  </si>
  <si>
    <t>น.พยาบาล</t>
  </si>
  <si>
    <t>https://drive.google.com/file/d/1h0J0xP8Wni0L9xzKaPqdPHf8I41PdjOu/view?usp=drivesdk</t>
  </si>
  <si>
    <t>เขมิกา สุขสองห้อง</t>
  </si>
  <si>
    <t>https://drive.google.com/file/d/1hqOeal59cz4BhqbrzL76_GvXt4GZqBuD/view?usp=drivesdk</t>
  </si>
  <si>
    <t>คันธรส ฉายะวงษ์</t>
  </si>
  <si>
    <t>น.ตัดต่อ</t>
  </si>
  <si>
    <t>https://drive.google.com/file/d/12WrGSI8ET9CG2_z60Uz_UPr5qoC2Xc6D/view?usp=drivesdk</t>
  </si>
  <si>
    <t>จารวี จี๋จันทร์</t>
  </si>
  <si>
    <t>https://drive.google.com/file/d/1xKO7E9fbN0f3zXg59l4v2nfzOF6DaUps/view?usp=drivesdk</t>
  </si>
  <si>
    <t>จุฑานภัสร์ ฟ้าบรรเจิด</t>
  </si>
  <si>
    <t>https://drive.google.com/file/d/1xeVBGU0N0Q_KLCyAeEvS20-GfEuwgJg7/view?usp=drivesdk</t>
  </si>
  <si>
    <t>จุฑาลักษณ์ อรัณยภูติ</t>
  </si>
  <si>
    <t>https://drive.google.com/file/d/1_7g0HaaJT7IO3fcxRpqIAWTvWPH9pvIu/view?usp=drivesdk</t>
  </si>
  <si>
    <t>ฉายแสง สมหวัง</t>
  </si>
  <si>
    <t>https://drive.google.com/file/d/17rcWlAX0x2LSXO_fsoACYPEPx9WzZgUi/view?usp=drivesdk</t>
  </si>
  <si>
    <t>ชนิกานต์ จันไชยยศ</t>
  </si>
  <si>
    <t>หัวหน้านักเรียน</t>
  </si>
  <si>
    <t>https://drive.google.com/file/d/1XKx3TLW_EX5tJyatc73dL_ut07-GyNSR/view?usp=drivesdk</t>
  </si>
  <si>
    <t>ชนิสรา น้อยสอาด</t>
  </si>
  <si>
    <t>https://drive.google.com/file/d/1TorLHuCFTEPrN6a2QMbdkBR5ThQWv6-O/view?usp=drivesdk</t>
  </si>
  <si>
    <t>ชัญญากานต์ พุฒิพงศ์กวิน</t>
  </si>
  <si>
    <t>https://drive.google.com/file/d/1qjlTvxvo_Mn59ZpIm3DsruDsZ7mUQjRz/view?usp=drivesdk</t>
  </si>
  <si>
    <t>ณภัทร ทองเจือ</t>
  </si>
  <si>
    <t>https://drive.google.com/file/d/1zxSUAHfyzCrkMkZjEGJ23-_KOi1am2C1/view?usp=drivesdk</t>
  </si>
  <si>
    <t>ณัฐกมล สัมพวงค์</t>
  </si>
  <si>
    <t>https://drive.google.com/file/d/1B9YOIrnZ8SbvclBSrK4ucNYDfnV899rV/view?usp=drivesdk</t>
  </si>
  <si>
    <t>ณัฐชยา วิถี</t>
  </si>
  <si>
    <t>https://drive.google.com/file/d/1w1UZ7mCNZ7GgWKnRCdgXnr5IFCXWLCfy/view?usp=drivesdk</t>
  </si>
  <si>
    <t>ณัฐชิตา ชูเกียรติ</t>
  </si>
  <si>
    <t>https://drive.google.com/file/d/1khSYbJajZR3BGXVASM9aFZ3_fYvTTUFs/view?usp=drivesdk</t>
  </si>
  <si>
    <t>ณัฐณิชา บุญยืนมั่น</t>
  </si>
  <si>
    <t>https://drive.google.com/file/d/1SIkXzcuNWWrq1Q7Mu08H8p0p6mwv6l0U/view?usp=drivesdk</t>
  </si>
  <si>
    <t>ณัฐณิชา ริดใย</t>
  </si>
  <si>
    <t>https://drive.google.com/file/d/1fib9tsgKQ-cFevQk8zZ6PwlX4KGlAOtP/view?usp=drivesdk</t>
  </si>
  <si>
    <t>ณัทณิชา สุวะเสน</t>
  </si>
  <si>
    <t>https://drive.google.com/file/d/1p5wKj7h-PdOWaawRa_Qsw6UOBk3cFVlD/view?usp=drivesdk</t>
  </si>
  <si>
    <t>ณิชกานต์ เคนออง</t>
  </si>
  <si>
    <t>https://drive.google.com/file/d/1YGHmxHDgQ6PFAFwHHK95XZQEshpCpd-A/view?usp=drivesdk</t>
  </si>
  <si>
    <t>ดาราพรรณ บุญแลบ</t>
  </si>
  <si>
    <t>https://drive.google.com/file/d/1OrwyIsXmUwI3EJ0URc4rMofN62oontF7/view?usp=drivesdk</t>
  </si>
  <si>
    <t>ดิษยา คงเจริญ</t>
  </si>
  <si>
    <t>https://drive.google.com/file/d/1lGsYer9rISjXVipHeAf3W3dnR38iOZ6T/view?usp=drivesdk</t>
  </si>
  <si>
    <t>ธนภา อมตวณิชกุล</t>
  </si>
  <si>
    <t>https://drive.google.com/file/d/1hGImcpidrrYWrJgFpg7QOufiNimgDsDz/view?usp=drivesdk</t>
  </si>
  <si>
    <t>ธัญพิชชา ฤกษ์นาวี</t>
  </si>
  <si>
    <t>https://drive.google.com/file/d/1Ho2wosoA6SKSbaAem8Aem_liNVLVhge6/view?usp=drivesdk</t>
  </si>
  <si>
    <t>ธันยาภัทร์ จิโรชนิธิกาญจน์</t>
  </si>
  <si>
    <t>https://drive.google.com/file/d/1fk9KgOo_ITQKl7kzL1pHmFoYmSzn2Wsi/view?usp=drivesdk</t>
  </si>
  <si>
    <t>ธีรภัทร อุดรพันธ์</t>
  </si>
  <si>
    <t>น.พยาบาล, นักเรียนปกครอง</t>
  </si>
  <si>
    <t>https://drive.google.com/file/d/1Aqh-Z4DHoigRi_TRfO4oJITAdnRTvOqf/view?usp=drivesdk</t>
  </si>
  <si>
    <t>นนทิชา แสงตาล</t>
  </si>
  <si>
    <t>น.IT</t>
  </si>
  <si>
    <t>https://drive.google.com/file/d/1UtzPcSuopCcmQpNRk4Kjc8UpHsGirsL9/view?usp=drivesdk</t>
  </si>
  <si>
    <t>นันท์นภัส เภสัชชา</t>
  </si>
  <si>
    <t>https://drive.google.com/file/d/1RjSfdE06m7kI2E5xeCApwoSvxIDYa1_-/view?usp=drivesdk</t>
  </si>
  <si>
    <t>นิศารัตน์ ปลุกใจ</t>
  </si>
  <si>
    <t>https://drive.google.com/file/d/12uteObUOy4ry0jDk2Aet2V6mUKDSsRYH/view?usp=drivesdk</t>
  </si>
  <si>
    <t>เบญญภรณ์ บุญสมพร</t>
  </si>
  <si>
    <t>น.IT, นักเรียนปกครอง</t>
  </si>
  <si>
    <t>https://drive.google.com/file/d/12LcRZ5_dcv_bLS5SCKH7s8MNthK-rL9k/view?usp=drivesdk</t>
  </si>
  <si>
    <t>ปภาดา เกยูรวรรณ</t>
  </si>
  <si>
    <t>https://drive.google.com/file/d/1tHGrFz_1YR0844mZ5rK6K9Po9xvKheWd/view?usp=drivesdk</t>
  </si>
  <si>
    <t>ประภัสสร ธีรศรัณยานนท์</t>
  </si>
  <si>
    <t>https://drive.google.com/file/d/1Z7HGZ9iFrx-hv5IGuZmJ5BWBFQGFU1MT/view?usp=drivesdk</t>
  </si>
  <si>
    <t>ปวีณ์สุดา ทรงศรี</t>
  </si>
  <si>
    <t>https://drive.google.com/file/d/1tP4pXtk25VSGCC7w9keQaBjQmqG1ljI8/view?usp=drivesdk</t>
  </si>
  <si>
    <t>ปัทมาภรณ์ ดวงดี</t>
  </si>
  <si>
    <t>https://drive.google.com/file/d/1ZVQ28Tdl7SLL9oJrG3c947ZGOwnd4dQO/view?usp=drivesdk</t>
  </si>
  <si>
    <t>ปารวัณ เนาวภาส</t>
  </si>
  <si>
    <t>https://drive.google.com/file/d/1LCK3HELYxI-ollUHbOJuAGHQgwOPu--5/view?usp=drivesdk</t>
  </si>
  <si>
    <t>ผกาวรรณ เรืองเนตร</t>
  </si>
  <si>
    <t>https://drive.google.com/file/d/1l17cSnW4JFPqf9bE3IeW6fAKxasMI5jH/view?usp=drivesdk</t>
  </si>
  <si>
    <t>พรปราณี อุทัยวรรณ</t>
  </si>
  <si>
    <t>https://drive.google.com/file/d/1J2qxBl8pa_4bjgun_yeqqq0uTpLWaeTa/view?usp=drivesdk</t>
  </si>
  <si>
    <t>พรมนัส ค้าขาย</t>
  </si>
  <si>
    <t>น.กราฟฟิก</t>
  </si>
  <si>
    <t>https://drive.google.com/file/d/19t-OjcQnz7ToTcaROi11ZAYjhmaPlqko/view?usp=drivesdk</t>
  </si>
  <si>
    <t>พันธ์ทิพย์ แก้วดอนโมง</t>
  </si>
  <si>
    <t>https://drive.google.com/file/d/1BlNk19RqMYnGt21cUyJPmFzlkqlNTlEl/view?usp=drivesdk</t>
  </si>
  <si>
    <t>พีรพัฒน์ แสงใยมณี</t>
  </si>
  <si>
    <t>https://drive.google.com/file/d/15CBN2jwDuQbGm7JxNtS06VKoYdNaxy4x/view?usp=drivesdk</t>
  </si>
  <si>
    <t>เพ็ชรไพลิน ปงคำเพย</t>
  </si>
  <si>
    <t>https://drive.google.com/file/d/17stAcJs2wCDE_186Zf8qJju2Su4m9iM3/view?usp=drivesdk</t>
  </si>
  <si>
    <t>ภุมวดี พิมศรี</t>
  </si>
  <si>
    <t>https://drive.google.com/file/d/1y-w2JS-g4BSwScKkSQVtDvUfZtUhy3OD/view?usp=drivesdk</t>
  </si>
  <si>
    <t>มรกต จันทฤทธิ์</t>
  </si>
  <si>
    <t>https://drive.google.com/file/d/1Chq3HbXfweJFdEJTkmR9AWjsu0dNXIg7/view?usp=drivesdk</t>
  </si>
  <si>
    <t>มัญชุสา อภิรมย์ชวาล</t>
  </si>
  <si>
    <t>https://drive.google.com/file/d/1puI6CouxOLe4uDuoyVXWy2KDCfWyR-Qx/view?usp=drivesdk</t>
  </si>
  <si>
    <t>เมธัส ประภาศรี</t>
  </si>
  <si>
    <t>https://drive.google.com/file/d/1vA-IWARP8fENeIoahBiIkH69OIjPDNZf/view?usp=drivesdk</t>
  </si>
  <si>
    <t>รุจิรดา ศรีไชยกิจ</t>
  </si>
  <si>
    <t>https://drive.google.com/file/d/13p6C2aWs4sbTzN0B4ChuJCPyVlIeeD0Q/view?usp=drivesdk</t>
  </si>
  <si>
    <t>ลักษมน มาลัย</t>
  </si>
  <si>
    <t>https://drive.google.com/file/d/1UQNwo0RJkC4t9jymA3mi-EavKZW2HKMF/view?usp=drivesdk</t>
  </si>
  <si>
    <t>วนิดา ชารีงาม</t>
  </si>
  <si>
    <t>https://drive.google.com/file/d/1DkP_CEv7zOtrq9SOxsOh_7tN3sNklTuF/view?usp=drivesdk</t>
  </si>
  <si>
    <t>วรวลัญช์ เกตุแก้ว</t>
  </si>
  <si>
    <t>https://drive.google.com/file/d/1w3ESlGI6-Mgb-tq0UOQ0jOpbR6DUkXf1/view?usp=drivesdk</t>
  </si>
  <si>
    <t>วรินันท์ ประสิทธิ์ลาภสกุล</t>
  </si>
  <si>
    <t>https://drive.google.com/file/d/15x6bUYfl6gh475kh6tElzJSY4zJ6Dyoy/view?usp=drivesdk</t>
  </si>
  <si>
    <t>วลัญช์ มานิตย์</t>
  </si>
  <si>
    <t>น.พยาบาล,นักเรียนปกครอง</t>
  </si>
  <si>
    <t>https://drive.google.com/file/d/1UENwIFHDJc33JaQ-ZQeV1i1ueD6F9xgN/view?usp=drivesdk</t>
  </si>
  <si>
    <t>ศศิกานต์ ไคลมี</t>
  </si>
  <si>
    <t>https://drive.google.com/file/d/1Ml4dJZVi3YaFotxGpdjONSWxB8Gd1sFh/view?usp=drivesdk</t>
  </si>
  <si>
    <t>ศศิประภา จันทร์กระจ่าง</t>
  </si>
  <si>
    <t>https://drive.google.com/file/d/1lu10RL6MuPxjTZvN-nzyEo6FNkkq89RL/view?usp=drivesdk</t>
  </si>
  <si>
    <t>ศิริขวัญ วามะลุน</t>
  </si>
  <si>
    <t>https://drive.google.com/file/d/1OPN7sX-nmOYB0u9iyZLy1N8gua5jqn5X/view?usp=drivesdk</t>
  </si>
  <si>
    <t>ศิริวรรณ ประกอบสัตย์</t>
  </si>
  <si>
    <t>https://drive.google.com/file/d/1I8-S5QZuYHaXwoB1qF1EnMeg1QG_Yku4/view?usp=drivesdk</t>
  </si>
  <si>
    <t>ศุภิสรา สุพรรณนอก</t>
  </si>
  <si>
    <t>รองหัวหน้านักเรียน</t>
  </si>
  <si>
    <t>https://drive.google.com/file/d/1A72jCEajs519tY9scIUIaqce9S0OFRQO/view?usp=drivesdk</t>
  </si>
  <si>
    <t>สรัญญา ขุนสังวาลย์</t>
  </si>
  <si>
    <t>https://drive.google.com/file/d/1u8NYw0T_TgkRyoy9rhUQHpylK0yVVq2b/view?usp=drivesdk</t>
  </si>
  <si>
    <t>สิริกร พรมศรี</t>
  </si>
  <si>
    <t>https://drive.google.com/file/d/1EaPneoCGpm416eWZDl2zEeclNbG9K_Wm/view?usp=drivesdk</t>
  </si>
  <si>
    <t>สุภัชสรา เชิดพุดซา</t>
  </si>
  <si>
    <t>https://drive.google.com/file/d/1r1mGokmsb2mIlP2eIWxV1VfhQoUeLMXk/view?usp=drivesdk</t>
  </si>
  <si>
    <t>เสฏฐวุฒิ เฮียงโฮม</t>
  </si>
  <si>
    <t>https://drive.google.com/file/d/1EkbsMGkd4ZpplFU44KSxS_BRR9vluF8H/view?usp=drivesdk</t>
  </si>
  <si>
    <t>อนัญญา ขอประเสริฐสุข</t>
  </si>
  <si>
    <t>https://drive.google.com/file/d/1aUQHiv-4QADQ8oVIIztnGBQt5EJ5Cw6e/view?usp=drivesdk</t>
  </si>
  <si>
    <t>อรกัญญา ทอนสูงเนิน</t>
  </si>
  <si>
    <t>นักเรียนพยาบาลทหารอากาศรุ่นที่ 66</t>
  </si>
  <si>
    <t>https://drive.google.com/file/d/1Ab5Al480tqqNdcvZW7GKkML5jG96tWWz/view</t>
  </si>
  <si>
    <t>กรกนก วิไลลักษณ์</t>
  </si>
  <si>
    <t>https://drive.google.com/file/d/1KcqaeYDTS6q0bxg8vBzQYB5OM8r3auOZ/view</t>
  </si>
  <si>
    <t>กฤตินันท์ ฉิมพาลี</t>
  </si>
  <si>
    <t>https://drive.google.com/file/d/1L0nwCSvawEjWiU6KUu37dXX0yofGszQj/view</t>
  </si>
  <si>
    <t>กันต์ฤทัย อินทรเทศ</t>
  </si>
  <si>
    <t>https://drive.google.com/file/d/1aQ0qPZ4kyYOTzAdBNsjNmsDPjONOQwmE/view</t>
  </si>
  <si>
    <t>กัลยาณี นารีพล</t>
  </si>
  <si>
    <t>https://drive.google.com/file/d/1jTqchZIEWyuVP5aReD6bQRw8BrCXHfQ7/view</t>
  </si>
  <si>
    <t>กาญจน์สุดา เหล่าบุตรดี</t>
  </si>
  <si>
    <t>https://drive.google.com/file/d/1pvz7d5ryRLdmL0RYMA7dpyrCTypO1KWj/view</t>
  </si>
  <si>
    <t>เกรียงเดช รักถิ่นเดิม</t>
  </si>
  <si>
    <t>https://drive.google.com/file/d/1BlsMjCX7iKLuVsVMLfV2V2WCQI1I-ASA/view</t>
  </si>
  <si>
    <t>ฉัตรชนก กันสาตร</t>
  </si>
  <si>
    <t>https://drive.google.com/file/d/16Cv99j-GHvLswdgK92R4bPz1NIlvbSvr/view</t>
  </si>
  <si>
    <t>ชญานิศ ทองแสงแก้ว</t>
  </si>
  <si>
    <t>https://drive.google.com/file/d/1fNQ95kWwRLi_2_0t9-1DqwC0J3Yaheuo/view</t>
  </si>
  <si>
    <t>ชฎาภา บุตรวงษ์</t>
  </si>
  <si>
    <t>https://drive.google.com/file/d/1pe0YAhiKyi5GePoOB71K3ZWmgkv0RfQm/view</t>
  </si>
  <si>
    <t>ชนาภา บุญแสน</t>
  </si>
  <si>
    <t>https://drive.google.com/file/d/1hQICm-TMG8bI_aqRGhr6J4vT72VRwJu5/view</t>
  </si>
  <si>
    <t>ชวัลลักษณ์ อินทะชุบ</t>
  </si>
  <si>
    <t>https://drive.google.com/file/d/1C0uEY0SPvSQSv-DN3wEQtbONFbwwRBFc/view</t>
  </si>
  <si>
    <t>ชายชาญ ไทยรินทร์</t>
  </si>
  <si>
    <t>https://drive.google.com/file/d/1Y7RbtmBEnX8t5CnP2GEe413P0w-06x7b/view</t>
  </si>
  <si>
    <t>ชุติกาญจน์ ชูตินันท์</t>
  </si>
  <si>
    <t>น. ไอที</t>
  </si>
  <si>
    <t>https://drive.google.com/file/d/1DnS-4WHEVX9FRzNaBTW-TD60rlR6BViO/view</t>
  </si>
  <si>
    <t>ณัฐนรินทร์ เต่าไธสง</t>
  </si>
  <si>
    <t>https://drive.google.com/file/d/195PEkV4A2XfXm5EWCvr7Sqmw55CEaZ54/view</t>
  </si>
  <si>
    <t>ณัฐวุฒิ แสงคร้าม</t>
  </si>
  <si>
    <t>https://drive.google.com/file/d/17G05DCN1n0Zpp7oyrf3YXr68AXPWsH5M/view</t>
  </si>
  <si>
    <t>ณิชนันท์ ศิรประภารัตน์</t>
  </si>
  <si>
    <t>https://drive.google.com/file/d/1fletLMDk5fAQ2UUsRPlDTici4fbp4Vcy/view</t>
  </si>
  <si>
    <t>ตรีสุคนธ์ ยศแก้ว</t>
  </si>
  <si>
    <t>https://drive.google.com/file/d/1bF8uI3GDHAopi6u15Ctgx-EDrn2f6ikU/view</t>
  </si>
  <si>
    <t>ทวิกา สอิ้งแก้ว</t>
  </si>
  <si>
    <t>https://drive.google.com/file/d/19EtiM2FJwm-xPwf8HE74JBOs6qrwPBEC/view</t>
  </si>
  <si>
    <t>ทักษพร สอนดี</t>
  </si>
  <si>
    <t>https://drive.google.com/file/d/1iCIUkZVwiRHm7p0ab7ZWy2nf3kclCrRi/view</t>
  </si>
  <si>
    <t>ธัญชนก ไชยปรุง</t>
  </si>
  <si>
    <t>https://drive.google.com/file/d/1MSmxDTemOxhN1fSdxZI0LB-mEFBARPJK/view</t>
  </si>
  <si>
    <t>ธัญลักษณ์ ระลึกเย็น</t>
  </si>
  <si>
    <t>https://drive.google.com/file/d/1ksvkhC_28cbE77cxNGZE3Y5_j5xm6IZk/view</t>
  </si>
  <si>
    <t>ธิดารัตน์ นิลสังข์</t>
  </si>
  <si>
    <t>https://drive.google.com/file/d/11dINO39GddwVnVjDagpaWZ_gosViBuE4/view</t>
  </si>
  <si>
    <t>นภชนก อัครวุฒิญาณ</t>
  </si>
  <si>
    <t>https://drive.google.com/file/d/1MI2cZ0kSnfxaiVC-NGrnt-kJ9lYc_QPI/view</t>
  </si>
  <si>
    <t>นัชธิดา ไกรทองสุข</t>
  </si>
  <si>
    <t>https://drive.google.com/file/d/1W9viOCBYrqj6FKnkLhGAQyUrZoZ-6PWw/view</t>
  </si>
  <si>
    <t>นันท์นภัส เคนสุวรรณ</t>
  </si>
  <si>
    <t>https://drive.google.com/file/d/1nc9LxZCnA-Du3H2PwXgahyADqm-zO2gJ/view</t>
  </si>
  <si>
    <t>นันทิยา แก้วก่อง</t>
  </si>
  <si>
    <t>https://drive.google.com/file/d/1oujlYveUB_M_gJlMAItmb0wWkm_mB4Rl/view</t>
  </si>
  <si>
    <t>นิศาชล ชุมจันทร์</t>
  </si>
  <si>
    <t>https://drive.google.com/file/d/1FU4hW-ge7A-kfjlqt_Io359SSdDJgVYG/view</t>
  </si>
  <si>
    <t>เนตรชนก จงไกรจักร</t>
  </si>
  <si>
    <t>https://drive.google.com/file/d/1d49afOepl0AZZJJ_NPw_W6QudxK2f45p/view</t>
  </si>
  <si>
    <t>เนตรชนก ชูหนู</t>
  </si>
  <si>
    <t>https://drive.google.com/file/d/1L_hLHCXId7Z53IWEr7Gmq0HD_fmYpOUK/view</t>
  </si>
  <si>
    <t>บูรพา สิริอุดมสิน</t>
  </si>
  <si>
    <t>https://drive.google.com/file/d/1_I2Z_hl5FfG3F9_bis36GeT1peP8iOsb/view</t>
  </si>
  <si>
    <t>เบญจมาภรณ์ เกตุมณี</t>
  </si>
  <si>
    <t>https://drive.google.com/file/d/1EZ-vOjzKHdSTvUnc-y1cPF8zMEgyqfmw/view</t>
  </si>
  <si>
    <t>ประชาธิปไตย ปู่คาน</t>
  </si>
  <si>
    <t>https://drive.google.com/file/d/1kbQqqG6xWfz2cEr7T4fJCx8j7EUBe19N/view</t>
  </si>
  <si>
    <t>ประภัสสร คีตวัฒนานนท์</t>
  </si>
  <si>
    <t>https://drive.google.com/file/d/1WmT0MCc-zkOLqiwywX2e_kdN8zfYYlIA/view</t>
  </si>
  <si>
    <t>ปรียาภรณ์ ทองอำพันธ์</t>
  </si>
  <si>
    <t>https://drive.google.com/file/d/1WVgF4Sh4QaEsWKxKWdJTqPSZVpLibGKn/view</t>
  </si>
  <si>
    <t>ปาจีรนันท์ ปิงขุนทด</t>
  </si>
  <si>
    <t>https://drive.google.com/file/d/1krBB-ppNX-djOLWNEwV3QeBNw7t66dhq/view</t>
  </si>
  <si>
    <t>ปานรัศมี ทองไทย</t>
  </si>
  <si>
    <t>https://drive.google.com/file/d/10Lt05U2fQ301W_zAK9qYcmVJJsXo4VDS/view</t>
  </si>
  <si>
    <t>ปิยะนันท์ ตุนก</t>
  </si>
  <si>
    <t>https://drive.google.com/file/d/17_uT_I58x_1FISpzHkjQ5xLv-SH_cs_A/view</t>
  </si>
  <si>
    <t>พรทิพย์ หงษ์มณี</t>
  </si>
  <si>
    <t>https://drive.google.com/file/d/1CXwlfnHwQK2_GOCA0NIp8s7zsgzOMEvh/view</t>
  </si>
  <si>
    <t>พลอยไพลิน ทะสา</t>
  </si>
  <si>
    <t>https://drive.google.com/file/d/1t8g2HaBFwf1_zPsvmStpFEKwkoINaEMA/view</t>
  </si>
  <si>
    <t>พิชญาภัค สุวรรณสาม</t>
  </si>
  <si>
    <t>https://drive.google.com/file/d/1SXCkmcZJE8_YTl-LXlqACEjS3eZmBcOC/view</t>
  </si>
  <si>
    <t>พิชามญชุ์ แก้วเมือง</t>
  </si>
  <si>
    <t>https://drive.google.com/file/d/1iF6qoUiMmN40guLEpbpNH_ozINWNZJds/view</t>
  </si>
  <si>
    <t>พิทยาภรณ์ คำลือ</t>
  </si>
  <si>
    <t>https://drive.google.com/file/d/1o5keiXuGI-2aBl8s-ctk8ElgaNIS_ecD/view</t>
  </si>
  <si>
    <t>พิมพ์พิศา ไพศาลมรกต</t>
  </si>
  <si>
    <t>https://drive.google.com/file/d/1oJoU-3SoKGOZya_K8dwmasIBZjr7iWS8/view</t>
  </si>
  <si>
    <t>พิมพ์ลภัส ทองดีเลิศ</t>
  </si>
  <si>
    <t>https://drive.google.com/file/d/12qcDRA6ZICNRdYDJ-Z9sXwaLCO3YcJCo/view</t>
  </si>
  <si>
    <t>วรรณพร ศรีด่านจาก</t>
  </si>
  <si>
    <t>https://drive.google.com/file/d/1DJXxgFax2R-9s_ByFhhXin_h285vgw9J/view</t>
  </si>
  <si>
    <t>วรัญญา สุวรรณ</t>
  </si>
  <si>
    <t>https://drive.google.com/file/d/1YLsC9OSJEMZu46OWccyD7I0DAsLwqQVA/view</t>
  </si>
  <si>
    <t>วารีริน ปิมปา</t>
  </si>
  <si>
    <t>https://drive.google.com/file/d/1ABBkXvbvqAuBqF6-2NuZwEWoblgkeJAp/view</t>
  </si>
  <si>
    <t>วาสิตา ไทรทอง</t>
  </si>
  <si>
    <t>https://drive.google.com/file/d/1cgZBoJ4eMj1pFKCmxRWDdBvRHTNUfYuL/view</t>
  </si>
  <si>
    <t>ศตพร คงศักดิ์</t>
  </si>
  <si>
    <t>https://drive.google.com/file/d/1CQGO-CkB9e4PxoPx8HsqpUnHL9q7skij/view</t>
  </si>
  <si>
    <t>ศิริพร คล้ายแก้ว</t>
  </si>
  <si>
    <t>https://drive.google.com/file/d/1lThE58nFFntlujfx1x7ujec0PyzGuwVO/view</t>
  </si>
  <si>
    <t>ศิริวรรณ บริบูรณ์</t>
  </si>
  <si>
    <t>https://drive.google.com/file/d/1pr-lOBDmHNfO6kBGmO3iTAtiNAzwSK-z/view</t>
  </si>
  <si>
    <t>ศิวัชญา อยู่ชาติประเสริฐ</t>
  </si>
  <si>
    <t>https://drive.google.com/file/d/1-ChFF55ywAuA4Wu6vEOmVYTRTPE442a5/view</t>
  </si>
  <si>
    <t>ศุภิสรา หอมหวน</t>
  </si>
  <si>
    <t>https://drive.google.com/file/d/1RrKqme2M2jk4HvcEvEpB9K5X4auQOct7/view</t>
  </si>
  <si>
    <t>สถิตย์ภรณ์ นวลขวัญ</t>
  </si>
  <si>
    <t>https://drive.google.com/file/d/1UlmyzHfUXMrRbRpFXegnB10Qrj4slGFA/view</t>
  </si>
  <si>
    <t>สุชานันท์ ดิสระมุณี</t>
  </si>
  <si>
    <t>https://drive.google.com/file/d/163PqJ1SYeg-2zTigflHc4h90pJISz4Rh/view</t>
  </si>
  <si>
    <t>สุณัญญา แก้วเจริญ</t>
  </si>
  <si>
    <t>https://drive.google.com/file/d/1crtfdET5s_YaCOLxQrAiGneMdCl86HIo/view</t>
  </si>
  <si>
    <t>สุพิชชา โคตวงค์</t>
  </si>
  <si>
    <t>https://drive.google.com/file/d/1mfZMskt-UppUQyCMuei_QvZtUiFL7m11/view</t>
  </si>
  <si>
    <t>สุภานัน ธรรมรักษา</t>
  </si>
  <si>
    <t>https://drive.google.com/file/d/1WCQjxSzwiOTaE6JZcy2mmR1NtDIxiQY4/view</t>
  </si>
  <si>
    <t>หัสฐากร หงษ์สุวรรณ</t>
  </si>
  <si>
    <t>https://drive.google.com/file/d/1r4-OafrOy69eE5oU1eyRXVxFtUDydRME/view</t>
  </si>
  <si>
    <t>อโณชา จันทรา</t>
  </si>
  <si>
    <t>https://drive.google.com/file/d/1zWxN5jMyH8cwDdei6K7dpdK3d6Ag3yjx/view</t>
  </si>
  <si>
    <t>อนัญญา สิงทิศ</t>
  </si>
  <si>
    <t>https://drive.google.com/file/d/1-Rpt6CqnajuQ2UOYA1WqFX6Y-lKsTnsm/view</t>
  </si>
  <si>
    <t>อภิรชา คำเจริญ</t>
  </si>
  <si>
    <t>https://drive.google.com/file/d/1LIVb1ULIIzZUQmnlCDEAoN4txBy9A95P/view</t>
  </si>
  <si>
    <t>อมฤทธิ์ สุทธิวิลัย</t>
  </si>
  <si>
    <t>https://drive.google.com/file/d/1QrCvFKS352A6l-xkqaO26XbpA8DFklfP/view</t>
  </si>
  <si>
    <t>อารียา สงวน</t>
  </si>
  <si>
    <t>นักเรียนพยาบาลทหารอากาศรุ่นที่ 67</t>
  </si>
  <si>
    <t>https://drive.google.com/file/d/1FeJKGJk6pZh1s-F6bbSf56E7asKqYjVj/view?usp=drivesdk</t>
  </si>
  <si>
    <t>กนกวรรณ จิณเสน</t>
  </si>
  <si>
    <t>https://drive.google.com/file/d/1d20whKBAb-1DODjC5pfIKHCTSzwAw8-p/view?usp=drivesdk</t>
  </si>
  <si>
    <t>กรณิศ เกษแก้ว</t>
  </si>
  <si>
    <t>https://drive.google.com/file/d/1SFNP6SxAGPu59FttOl-M60JUnO6p4g1Z/view?usp=drivesdk</t>
  </si>
  <si>
    <t>กฤตพร พิทักษ์</t>
  </si>
  <si>
    <t>กัญญณัช เดชธนาธันยกร</t>
  </si>
  <si>
    <t>https://drive.google.com/file/d/1uX-WriWTVWi4K0X6jRRBsCBt8aSwsjIM/view?usp=drivesdk</t>
  </si>
  <si>
    <t>กัณยวัลย์ เทียนบัญญัติ</t>
  </si>
  <si>
    <t>https://drive.google.com/file/d/18UJBPmHi8Ug-7FE_o3FNx-PjabFQwH_y/view?usp=drivesdk</t>
  </si>
  <si>
    <t>ข้าวขวัญ ดุจธรรมสาร</t>
  </si>
  <si>
    <t>จินต์จุฑา จงประเสริฐ</t>
  </si>
  <si>
    <t>https://drive.google.com/file/d/1lOQxJTiBOYKumzNl1LpD_nzuBx-D2Eyk/view?usp=drivesdk</t>
  </si>
  <si>
    <t>จิราภา กลิ่นมณฑา</t>
  </si>
  <si>
    <t>https://drive.google.com/file/d/1tXWGZoF9dSsh7M-EuetRuLBvu80tcYD3/view?usp=drivesdk</t>
  </si>
  <si>
    <t>ชณัฐธิดา ชูชีพ</t>
  </si>
  <si>
    <t>https://drive.google.com/file/d/1LvlAQI9bDrWAIs_uCmMQFnIWUU4cOxsM/view?usp=drivesdk</t>
  </si>
  <si>
    <t>ชนัญญา เสาร์แดน</t>
  </si>
  <si>
    <t>https://drive.google.com/file/d/1iy_BbzTgZVfxxCnhWCSUcYcjBSoRq4Pm/view?usp=drivesdk</t>
  </si>
  <si>
    <t>ชวพร โมลานิล</t>
  </si>
  <si>
    <t>https://drive.google.com/file/d/1aZgjuqh4wbrpaXi9fs7s_iagZW2rTbT2/view?usp=drivesdk</t>
  </si>
  <si>
    <t>ชัญญาพัฒน์ ทัศนวิภาส</t>
  </si>
  <si>
    <t>https://drive.google.com/file/d/13PZQELJ82gQN_kZ3iwfBpH5uynbCC1cG/view?usp=drivesdk</t>
  </si>
  <si>
    <t>โชติกา กัลศักดิ์ปภา</t>
  </si>
  <si>
    <t>https://drive.google.com/file/d/1cs_JtmPJpAI-ZWLb54XkpJ9v4IjWUmXI/view?usp=drivesdk</t>
  </si>
  <si>
    <t>ญาณิศา ตุ้งซี่</t>
  </si>
  <si>
    <t>https://drive.google.com/file/d/1shyPXb3gRGU5Ss9EIbLw0FmEIRog_KNr/view?usp=drivesdk</t>
  </si>
  <si>
    <t>ญาตาวี บุญภิละ</t>
  </si>
  <si>
    <t>https://drive.google.com/file/d/1ksPAUyQtggDIqgjjhcIH-mq9isz1L-TT/view?usp=drivesdk</t>
  </si>
  <si>
    <t>ฐานิดา อ่อนล้อม</t>
  </si>
  <si>
    <t>https://drive.google.com/file/d/1IO3XoUzQ2HE9uCgrkBhNHCW3NK2VgW3M/view?usp=drivesdk</t>
  </si>
  <si>
    <t>ฑิตถากร แน่นอุดร</t>
  </si>
  <si>
    <t>น.สารสนเทศ</t>
  </si>
  <si>
    <t>https://drive.google.com/file/d/1S16NCM3ameP8glDEKAPxJgKHqvRWarQ5/view?usp=drivesdk</t>
  </si>
  <si>
    <t>ณัฐณิชา พิทักษ์สันติ</t>
  </si>
  <si>
    <t>https://drive.google.com/file/d/1FLA8OvFwoQOBOMkauF2iqxea2bnErZ-7/view?usp=drivesdk</t>
  </si>
  <si>
    <t>ณัฐธิดา จันทร์อนันต์</t>
  </si>
  <si>
    <t>https://drive.google.com/file/d/1DeCHqHvbNglovBqNfSbMRxkOgFF5hAhC/view?usp=drivesdk</t>
  </si>
  <si>
    <t>ณัฐธิดา เอียดดำ</t>
  </si>
  <si>
    <t>https://drive.google.com/file/d/13fXs5T4xG4ny2t0ET4h13oqj6PmLL2nK/view?usp=drivesdk</t>
  </si>
  <si>
    <t>ณัฐพงษ์ วงษ์บัวงาม</t>
  </si>
  <si>
    <t>https://drive.google.com/file/d/16HaUaJX2FbqPb63bG_88p3VpZ85Qns3C/view?usp=drivesdk</t>
  </si>
  <si>
    <t>ณัฐวรรณ เคนสุวรรณ</t>
  </si>
  <si>
    <t>https://drive.google.com/file/d/1h2jJ-Hl9NBHmwXPd6kbkGlTQYvilw31n/view?usp=drivesdk</t>
  </si>
  <si>
    <t>ดลภัค แก้วเอก</t>
  </si>
  <si>
    <t>https://drive.google.com/file/d/1J7CMjuhGHcYBBCLRd0ljRtuQrfg_yvI6/view?usp=drivesdk</t>
  </si>
  <si>
    <t>ธนภูมิ กระจ่างจาย</t>
  </si>
  <si>
    <t>https://drive.google.com/file/d/195W4b1YLkscnlTLupivAV5kBrX7TPMID/view?usp=drivesdk</t>
  </si>
  <si>
    <t>ธัญชนก ธนะกองแก้ว</t>
  </si>
  <si>
    <t>https://drive.google.com/file/d/1b6eGB2AoTKd_6_ss-IywfJRZkf6LcS7f/view?usp=drivesdk</t>
  </si>
  <si>
    <t>ธัญชนิต ธนะกองแก้ว</t>
  </si>
  <si>
    <t>https://drive.google.com/file/d/1AVlMN7Wj0t7AO6_kbERDJ-5TFY9tQPi5/view?usp=drivesdk</t>
  </si>
  <si>
    <t>นพชกร ทิวแพ</t>
  </si>
  <si>
    <t>https://drive.google.com/file/d/1QOfxxZZdbwj2RRy18QKUFdjXgDuMIBY5/view?usp=drivesdk</t>
  </si>
  <si>
    <t>นภันต์กร อินทรแก้ว</t>
  </si>
  <si>
    <t>https://drive.google.com/file/d/1i8hYNylJWJp4ZyPqYLHLhZvJ21MNU3ws/view?usp=drivesdk</t>
  </si>
  <si>
    <t>นัฐพร บูรพันธ์</t>
  </si>
  <si>
    <t>https://drive.google.com/file/d/1YTY1ju46o4ZXqlB32usZobFUczzaDJ4C/view?usp=drivesdk</t>
  </si>
  <si>
    <t>นันทัชพร สิงห์โต</t>
  </si>
  <si>
    <t>https://drive.google.com/file/d/1FRFq41ogr0uKXTtSbdzwtnrXJn9_UPvs/view?usp=drivesdk</t>
  </si>
  <si>
    <t>บุญสิตา สุสี</t>
  </si>
  <si>
    <t>https://drive.google.com/file/d/18edsCeNjOKn8OAXq-kXSSKRAqeEIhv3x/view?usp=drivesdk</t>
  </si>
  <si>
    <t>ปภาดา สุจิณณานนท์</t>
  </si>
  <si>
    <t>https://drive.google.com/file/d/1uuTn4qAkH7B6OxgL1zt3zdjgJd-ubHiR/view?usp=drivesdk</t>
  </si>
  <si>
    <t>ประริชญา ประสิทธิ์พรม</t>
  </si>
  <si>
    <t>https://drive.google.com/file/d/11xaDBfV2l2scniXI4b1wNTQSSK3CyoUQ/view?usp=drivesdk</t>
  </si>
  <si>
    <t>ปุญญิศา ฤทธิ์หมุน</t>
  </si>
  <si>
    <t>https://drive.google.com/file/d/1jzHCw9aIZXyNC1YIiqvbjJakfVBNnDL9/view?usp=drivesdk</t>
  </si>
  <si>
    <t>ปุณยาพร เสือสมิง</t>
  </si>
  <si>
    <t>https://drive.google.com/file/d/1aoN-bn8wGnmugnSdhTODeqsoCqpjyXAc/view?usp=drivesdk</t>
  </si>
  <si>
    <t>เปรมยุดา ศรีสุข</t>
  </si>
  <si>
    <t>https://drive.google.com/file/d/1FGGMA4ttYbrNtrqJxRilN7AZsfFT73iR/view?usp=drivesdk</t>
  </si>
  <si>
    <t>พชรพร เพ็งภัตรา</t>
  </si>
  <si>
    <t>https://drive.google.com/file/d/1R5wnJnmSpQEfpCwbJJpkD2tOPsZGXzui/view?usp=drivesdk</t>
  </si>
  <si>
    <t>พนารัตน์ สร้างลิ้ม</t>
  </si>
  <si>
    <t>https://drive.google.com/file/d/1L8K-T6u4c60QAuLuhawkagecKwHrzgF0/view?usp=drivesdk</t>
  </si>
  <si>
    <t>พรรณรายณ์ เย็นประเสริฐ</t>
  </si>
  <si>
    <t>https://drive.google.com/file/d/1pT4WtBT8RqgYLTrxVEvQGB4pkvVyATcP/view?usp=drivesdk</t>
  </si>
  <si>
    <t>พัณณิตา ศรีเพชร</t>
  </si>
  <si>
    <t>https://drive.google.com/file/d/16dFNET19127JCkbDg566tL8rVje3xKJh/view?usp=drivesdk</t>
  </si>
  <si>
    <t>พิชชาภา เรืองจุ้ย</t>
  </si>
  <si>
    <t>https://drive.google.com/file/d/1MJe_PTsuMaqYLN3se2WUPRTXEmlFrU0B/view?usp=drivesdk</t>
  </si>
  <si>
    <t>พิชญาภา ไชยพงษ์</t>
  </si>
  <si>
    <t>https://drive.google.com/file/d/17VlbvBDsm7zAVGYdHgF1HsQiVJJgVlbJ/view?usp=drivesdk</t>
  </si>
  <si>
    <t>พิมพ์มาดา วงศาโรจน์</t>
  </si>
  <si>
    <t>https://drive.google.com/file/d/1HfFmDx3Oqh5NyyNAnROgp8fw465Ef7D8/view?usp=drivesdk</t>
  </si>
  <si>
    <t>เพ็ญพิชชา จันทระพงษ์</t>
  </si>
  <si>
    <t>https://drive.google.com/file/d/13SFSRv0AMUrGClPCWLLmC_wZCqK6p71K/view?usp=drivesdk</t>
  </si>
  <si>
    <t>ภัทรภรณ์ ลิมป์กิตติเจริญ</t>
  </si>
  <si>
    <t>https://drive.google.com/file/d/130d7RJUxe1KsntKVVFQ4VJGsDFwNwolo/view?usp=drivesdk</t>
  </si>
  <si>
    <t>ยศสินี มีมงคล</t>
  </si>
  <si>
    <t>https://drive.google.com/file/d/1wKw6LMaHtmLP-_68FhiKwGY9cWvEc8aC/view?usp=drivesdk</t>
  </si>
  <si>
    <t>รมิตา ธัยยาวัฒน์</t>
  </si>
  <si>
    <t>https://drive.google.com/file/d/10LEKLuLZorHpoSuefEMtoagRgRXHjIIL/view?usp=drivesdk</t>
  </si>
  <si>
    <t>โรจน์ศักดิ์ ทินนา</t>
  </si>
  <si>
    <t>https://drive.google.com/file/d/11G-olLPqWvl44xBq9IgqmuSXLL2tYFLs/view?usp=drivesdk</t>
  </si>
  <si>
    <t>วนัชพร กันทะตา</t>
  </si>
  <si>
    <t>https://drive.google.com/file/d/13VyNjMoW5c-tVm37XAE1S_pFJLEqWiaY/view?usp=drivesdk</t>
  </si>
  <si>
    <t>วรางคณา ปางชาติ</t>
  </si>
  <si>
    <t>https://drive.google.com/file/d/189Gn3FTEKICnNrKgPMWc6p0FsrV_RqTB/view?usp=drivesdk</t>
  </si>
  <si>
    <t>วราภรณ์ กาสี</t>
  </si>
  <si>
    <t>https://drive.google.com/file/d/1BWtVFuLlwpDtOQ2Gvdoh_AbKwucJcFQ3/view?usp=drivesdk</t>
  </si>
  <si>
    <t>วิภาวี กลั่นเมฆ</t>
  </si>
  <si>
    <t>https://drive.google.com/file/d/1ZgFe10vzkGwnIJFAdT4bkqUliUvEWUYM/view?usp=drivesdk</t>
  </si>
  <si>
    <t>วิมลสิริ สิงห์ธนะ</t>
  </si>
  <si>
    <t>https://drive.google.com/file/d/1EISHGVSDz0o3txwIUzJ05hjb3WjXpIBZ/view?usp=drivesdk</t>
  </si>
  <si>
    <t>วีรภัทร นกดำ</t>
  </si>
  <si>
    <t>https://drive.google.com/file/d/10fZxG5p8LRtz1ezAnkhqRSEzYbqpJSIc/view?usp=drivesdk</t>
  </si>
  <si>
    <t>ศลิษา สุริยผัส</t>
  </si>
  <si>
    <t>https://drive.google.com/file/d/1sfZOiM__Ukx4uzT4iG0rzTTzlJVak3At/view?usp=drivesdk</t>
  </si>
  <si>
    <t>ศุภางค์พักตร์ อักษรนิติ</t>
  </si>
  <si>
    <t>https://drive.google.com/file/d/1Sm_RqCVqwK9Vf2r60_3x-BlDYPXLORme/view?usp=drivesdk</t>
  </si>
  <si>
    <t>สรารัตน์ หาญจันทร์</t>
  </si>
  <si>
    <t>https://drive.google.com/file/d/1HI3Dc994qi2kHUqzlG89iRJ5eEFYNZQ6/view?usp=drivesdk</t>
  </si>
  <si>
    <t>สิริณัฏฐ์ บรรจงพินิจ</t>
  </si>
  <si>
    <t>https://drive.google.com/file/d/1yt0iOvWg27MBA5Xb-slRmOEyqTjxuN-P/view?usp=drivesdk</t>
  </si>
  <si>
    <t>สืบสกุล ธรรมขันธ์</t>
  </si>
  <si>
    <t>https://drive.google.com/file/d/1XTxSjLFcjX97oSwrLI9h-yAEmg-eQRFo/view?usp=drivesdk</t>
  </si>
  <si>
    <t>สุชารัตน์ นิวงษา</t>
  </si>
  <si>
    <t>https://drive.google.com/file/d/1iLEXJFCFmNNYgdqVEmLRz5VoHjrgUItN/view?usp=drivesdk</t>
  </si>
  <si>
    <t>สุชาสินี ป้อมพยัคฆ์</t>
  </si>
  <si>
    <t>https://drive.google.com/file/d/1s7-1NZPNpAb3KAZXk6Ek89M_SsCruDoN/view?usp=drivesdk</t>
  </si>
  <si>
    <t>สุรภา ธีสุระ</t>
  </si>
  <si>
    <t>https://drive.google.com/file/d/1R2JCVrGW3_VRQjGrtm17OyOgSoeZtXEe/view?usp=drivesdk</t>
  </si>
  <si>
    <t>อริสรา ศรีโพธิ์</t>
  </si>
  <si>
    <t>https://drive.google.com/file/d/1_PbUw2rxgyYAXAp5Ua8dITUD5l9Nad6X/view?usp=drivesdk</t>
  </si>
  <si>
    <t>อัจจิมา สุวรรณประเสริฐ</t>
  </si>
  <si>
    <t>นักเรียนพยาบาลทหารอากาศรุ่นที่ 68</t>
  </si>
  <si>
    <t>https://drive.google.com/file/d/1l3GhmtN42AHajMM2px035lRhj0HdHhZa/view?usp=drivesdk</t>
  </si>
  <si>
    <t>กมลฉัตร  ชาสุรีย์</t>
  </si>
  <si>
    <t>https://drive.google.com/file/d/1OMktMHoeprxx_ULVkIsoMTbrF-R9Z7MR/view?usp=drivesdk</t>
  </si>
  <si>
    <t>กรชนก  หน่อทิม</t>
  </si>
  <si>
    <t>https://drive.google.com/file/d/1OodVPnKV5s5aZyFyXHQY1nWmgzCOi8pc/view?usp=drivesdk</t>
  </si>
  <si>
    <t>กรองทอง  กันฟัก</t>
  </si>
  <si>
    <t>https://drive.google.com/file/d/11wL1bQzVeAvwvlpET2hICxqkt8rspp37/view?usp=drivesdk</t>
  </si>
  <si>
    <t>กษิดิ์เดช  เอมอานนท์</t>
  </si>
  <si>
    <t>https://drive.google.com/file/d/1iuP-4FegvnHUc9XcfrOZKVmrVaCyNs5d/view?usp=drivesdk</t>
  </si>
  <si>
    <t>กัญญพัชร  ทองสุข</t>
  </si>
  <si>
    <t>https://drive.google.com/file/d/1VzmCAWno_J7HYSxiF1wV8-FgInVKoUMy/view?usp=drivesdk</t>
  </si>
  <si>
    <t>กัญญวรา  โกษาเสวียง</t>
  </si>
  <si>
    <t>https://drive.google.com/file/d/15BAUxj16slA0MwyHZCu6RKCITkjm6a96/view?usp=drivesdk</t>
  </si>
  <si>
    <t>กันต์ธิดา  นาคทอง</t>
  </si>
  <si>
    <t>https://drive.google.com/file/d/1NRtxFQ08UXLBJ7oRNacIyvVFrJZbkeiY/view?usp=drivesdk</t>
  </si>
  <si>
    <t>กุลิสรา  ตุ่นคำ</t>
  </si>
  <si>
    <t>https://drive.google.com/file/d/1y4EFIrd6kDDwXGFNA-uC7SsIG1eE5LWJ/view?usp=drivesdk</t>
  </si>
  <si>
    <t>จักรพงศ์  ปรีชาคม</t>
  </si>
  <si>
    <t>https://drive.google.com/file/d/1yJU_cf43HQH6uxAEOXTGOgwrs3ZcSJRV/view?usp=drivesdk</t>
  </si>
  <si>
    <t>จิรัชยา  ธีรประภานนท์</t>
  </si>
  <si>
    <t>https://drive.google.com/file/d/1jJxE20Ja_oCsnnHCwuf1om96wN1yQQGv/view?usp=drivesdk</t>
  </si>
  <si>
    <t>ชนัญธิดา  สินปรุ</t>
  </si>
  <si>
    <t>https://drive.google.com/file/d/15bIgIsos31wktS_a5Xmjin1QkYCi4Isu/view?usp=drivesdk</t>
  </si>
  <si>
    <t>ฐิติกานต์  วัดจัง</t>
  </si>
  <si>
    <t>https://drive.google.com/file/d/1Yxh7-k1OoQGBQduraR92h77YvTLWvpOm/view?usp=drivesdk</t>
  </si>
  <si>
    <t>ฐิติณัฐดา  แสนสุขเกษม</t>
  </si>
  <si>
    <t>https://drive.google.com/file/d/1KyjZHr87xmlhk570p1Oxt3BTISvF_rMd/view?usp=drivesdk</t>
  </si>
  <si>
    <t>ณัชชา  ยอดรัตน์</t>
  </si>
  <si>
    <t>https://drive.google.com/file/d/1vHjZ7kfkPJkYD-0WqBzfL_ywT8QOIm5P/view?usp=drivesdk</t>
  </si>
  <si>
    <t>ณัชปวีย์  เยาวภา</t>
  </si>
  <si>
    <t>https://drive.google.com/file/d/1ZU919z7cuGY8I6TPMLHkaYyYfszphQLx/view?usp=drivesdk</t>
  </si>
  <si>
    <t>ณัฐญา  ชลอปัญจศิลป์</t>
  </si>
  <si>
    <t>https://drive.google.com/file/d/1XXNqup0qttPqTry2jsdWqHDFxdJNK-gP/view?usp=drivesdk</t>
  </si>
  <si>
    <t>ณัฐณิชา  ทิพย์โอสถ</t>
  </si>
  <si>
    <t>https://drive.google.com/file/d/15LrLd7IU7KNxYoJQ_L6osxg6npGBj750/view?usp=drivesdk</t>
  </si>
  <si>
    <t>ณัฐณิชา  มีปา</t>
  </si>
  <si>
    <t>https://drive.google.com/file/d/1itUoGIC7YN0IvZf9F3AkkhpTA2tnjT0-/view?usp=drivesdk</t>
  </si>
  <si>
    <t>ณัฐพัชร์  กาฬพรรณลึก</t>
  </si>
  <si>
    <t>https://drive.google.com/file/d/1czwqSVWDLQJ0KRzlwBgTR2ywGZlnInfX/view?usp=drivesdk</t>
  </si>
  <si>
    <t>ณัฐริกา  วัฒนสมบัติ</t>
  </si>
  <si>
    <t>https://drive.google.com/file/d/1tH4j9GZdkpyf4kGyWmzmSbe9MCV-HMIf/view?usp=drivesdk</t>
  </si>
  <si>
    <t>ณัฐวัฒน์  บ้งพรม</t>
  </si>
  <si>
    <t>https://drive.google.com/file/d/1YO7_gwXFU7FAyx4QoGmBUKFH73LRK1f8/view?usp=drivesdk</t>
  </si>
  <si>
    <t>ดลณภา  คล้ายสุวรรณ์</t>
  </si>
  <si>
    <t>https://drive.google.com/file/d/1D3uNe4epLFPxvrQGWgCVuqVwcb0yoqkM/view?usp=drivesdk</t>
  </si>
  <si>
    <t>ธนธัส  แซ่ว่อง</t>
  </si>
  <si>
    <t>https://drive.google.com/file/d/1qICD6Vn4f_8_O5ISUufvbzcD6VQxr8p9/view?usp=drivesdk</t>
  </si>
  <si>
    <t>ธนพล  เสือน้อย</t>
  </si>
  <si>
    <t>https://drive.google.com/file/d/1xyIFqh_Oncv8ruE_XuLGMiZWHza09XEX/view?usp=drivesdk</t>
  </si>
  <si>
    <t>ธัญวรัตน์  ยงคะวิสัย</t>
  </si>
  <si>
    <t>https://drive.google.com/file/d/1LKK_JszHN3cS2cjWJbHl03wZ1aq-Vrz2/view?usp=drivesdk</t>
  </si>
  <si>
    <t>ธีราพร  ประสิทธิภาพ</t>
  </si>
  <si>
    <t>https://drive.google.com/file/d/1zN_KuvdrNSmXbSAhQ-6wQ3eNuHaodiNi/view?usp=drivesdk</t>
  </si>
  <si>
    <t>นภัสสร  บุญรัตน์</t>
  </si>
  <si>
    <t>https://drive.google.com/file/d/1sGIVvi0JrsiCkNiQcEVkSCboPaypCY5E/view?usp=drivesdk</t>
  </si>
  <si>
    <t>นวพร  แซ่ห้าว</t>
  </si>
  <si>
    <t>https://drive.google.com/file/d/1fjDtwPfJ3QfdpM32x-OAz1DpJl8M95CS/view?usp=drivesdk</t>
  </si>
  <si>
    <t>นวพร  โอรัตนสถาพร</t>
  </si>
  <si>
    <t>https://drive.google.com/file/d/1mD3Q77XGxOjX8hHHMQ2FyHg_Nr1ByU-N/view?usp=drivesdk</t>
  </si>
  <si>
    <t>นายิกา  นกแก้ว</t>
  </si>
  <si>
    <t>https://drive.google.com/file/d/1edULFVRyCy2fardAgl0kT86a-lkAmTwW/view?usp=drivesdk</t>
  </si>
  <si>
    <t>เบญจวรรณ  มณีแนว</t>
  </si>
  <si>
    <t>https://drive.google.com/file/d/14Lp5ThkFUO47m-O4rbFytfLKKXo-Upx2/view?usp=drivesdk</t>
  </si>
  <si>
    <t>ปกรณ์เกียรติ  ชูปู</t>
  </si>
  <si>
    <t>https://drive.google.com/file/d/1IM7Iusk_iL-5FcX-jNZ0FoR4D8LMu5ZE/view?usp=drivesdk</t>
  </si>
  <si>
    <t>ปราณปริยา  ธูปทอง</t>
  </si>
  <si>
    <t>https://drive.google.com/file/d/1VhspARVNg9iD3KU0l_Vq8WSul2AxgoVk/view?usp=drivesdk</t>
  </si>
  <si>
    <t>ปัญชลีย์  ชื่นสวัสดิ์</t>
  </si>
  <si>
    <t>https://drive.google.com/file/d/1fgQMMwEvSQcGkIiEN6b1lEY5Q0r4JwY2/view?usp=drivesdk</t>
  </si>
  <si>
    <t>ปาลิดา  ลือนาม</t>
  </si>
  <si>
    <t>https://drive.google.com/file/d/1RE16TecBjYjhLVTy_bKYCvgkvnVhL_h8/view?usp=drivesdk</t>
  </si>
  <si>
    <t>ไปรยา  อิ่มเหว่า</t>
  </si>
  <si>
    <t>https://drive.google.com/file/d/1imzFF1j4N1WqE3qQ4NoBkWdU-y-R_Zot/view?usp=drivesdk</t>
  </si>
  <si>
    <t>พลอยธิดา  รัตนกิจ</t>
  </si>
  <si>
    <t>https://drive.google.com/file/d/1l3lbtfODbuQNcLuQx50OlQYq75gunNsl/view?usp=drivesdk</t>
  </si>
  <si>
    <t>พลอยปภัส  มากใหม่</t>
  </si>
  <si>
    <t>https://drive.google.com/file/d/1lo1ABjdYOXbtpIbwRvDU3LArCB5Zfw0f/view?usp=drivesdk</t>
  </si>
  <si>
    <t>พัทธ์ธีรา  สมานมาก</t>
  </si>
  <si>
    <t>https://drive.google.com/file/d/1dn3oqzSmz0IT2GKRqzyx79FM5_EQ-Z62/view?usp=drivesdk</t>
  </si>
  <si>
    <t>พิชญาภรณ์  บุตรวัง</t>
  </si>
  <si>
    <t>https://drive.google.com/file/d/1MFi9ysySWKQHp5ElHm6Z0buJ7CColKlR/view?usp=drivesdk</t>
  </si>
  <si>
    <t>พินิษา  อินทร์ศวร</t>
  </si>
  <si>
    <t>https://drive.google.com/file/d/1bM7P4noXoT9RZzdNF-Y2v00M5CbOrt0d/view?usp=drivesdk</t>
  </si>
  <si>
    <t>พิมพ์ณัฐชยา  มนนามอญ</t>
  </si>
  <si>
    <t>https://drive.google.com/file/d/1MR1lTewI5ijKiKPjTGycZzCNdk1IWOv3/view?usp=drivesdk</t>
  </si>
  <si>
    <t>พีรชา  แสงไทย</t>
  </si>
  <si>
    <t>https://drive.google.com/file/d/1DKbZmzdYNYXdbfscP0KWc7WPIT9Og2tc/view?usp=drivesdk</t>
  </si>
  <si>
    <t>ภัทรพร  ม่วงแคล้ว</t>
  </si>
  <si>
    <t>https://drive.google.com/file/d/1IRteJaAvBX6fJx0LvV8XH5K23mgythrx/view?usp=drivesdk</t>
  </si>
  <si>
    <t>ภัทราพร  ถึงกัน</t>
  </si>
  <si>
    <t>https://drive.google.com/file/d/1pKGqzaDXNrmVONSfo3N-Q16IJ2VZiHhU/view?usp=drivesdk</t>
  </si>
  <si>
    <t>มณฑกาญจน์  กองจะริตร์</t>
  </si>
  <si>
    <t>https://drive.google.com/file/d/1T9qecDXttfl4dBoHQpkGZy8cGLq-JCIb/view?usp=drivesdk</t>
  </si>
  <si>
    <t>มนัญชยา  สุขพี้</t>
  </si>
  <si>
    <t>https://drive.google.com/file/d/1RdFFGBu5j9GEg5L_FCM5ExZsb5iviApb/view?usp=drivesdk</t>
  </si>
  <si>
    <t>ยลภาม  ลำดับวงพุฒิปาณ</t>
  </si>
  <si>
    <t>https://drive.google.com/file/d/15gt2SmfqgEt50Bw5yoqpFAUvt1OkvqUr/view?usp=drivesdk</t>
  </si>
  <si>
    <t>ยุพารัตน์  ดาวลาย</t>
  </si>
  <si>
    <t>https://drive.google.com/file/d/1fvT1pb2eM7-Uwje6dz5mXaQCh5WRcUuB/view?usp=drivesdk</t>
  </si>
  <si>
    <t>โยษิตา  ลากุล</t>
  </si>
  <si>
    <t>https://drive.google.com/file/d/1kpBRr5IPK2G57kLdfpdgxdmyGUmtbnR8/view?usp=drivesdk</t>
  </si>
  <si>
    <t>รตนพร  สินทรัพย์</t>
  </si>
  <si>
    <t>https://drive.google.com/file/d/1cyaqrMk9HEmghLdYmz8cMU_PAf3jzFRj/view?usp=drivesdk</t>
  </si>
  <si>
    <t>รศิตา  ปลื้มจิตร์</t>
  </si>
  <si>
    <t>https://drive.google.com/file/d/1Jmxp3NsiPO5VbqcP10oPqTdNmjftocyR/view?usp=drivesdk</t>
  </si>
  <si>
    <t>วริศรา  ออละมาลี</t>
  </si>
  <si>
    <t>https://drive.google.com/file/d/1MSx6v0gEVfmBC1HqUM_wwAghBP7anmhO/view?usp=drivesdk</t>
  </si>
  <si>
    <t>วีรวัฒน์  ทัศน์จันดา</t>
  </si>
  <si>
    <t>https://drive.google.com/file/d/1sIntdGKEfUs98xusH9kr9jWG2fuEyqZY/view?usp=drivesdk</t>
  </si>
  <si>
    <t>ศศิชา  แจ้งปกรณ์กิจ</t>
  </si>
  <si>
    <t>https://drive.google.com/file/d/19mK5BrLa9PvZVHZ6Kc7LJdkDIE8Y3hIc/view?usp=drivesdk</t>
  </si>
  <si>
    <t>ศิริกานดา  แหลมไธสง</t>
  </si>
  <si>
    <t>https://drive.google.com/file/d/1vU08LSBUq1zg0YBg8N29j15MbanXdNFG/view?usp=drivesdk</t>
  </si>
  <si>
    <t>สุพิชชา  เชื้อชาติ</t>
  </si>
  <si>
    <t>https://drive.google.com/file/d/18KrieF_Gdg3Lha9ywbf6obEACMAoxP6x/view?usp=drivesdk</t>
  </si>
  <si>
    <t>สุภาวดี  สุวรรณโกศัย</t>
  </si>
  <si>
    <t>https://drive.google.com/file/d/1_ujVNr0-xDBnX5ZX0M2xvr6MH0RSzSMC/view?usp=drivesdk</t>
  </si>
  <si>
    <t>หฤทชนัน  อุทกัง</t>
  </si>
  <si>
    <t>https://drive.google.com/file/d/1R-voYZnLqvtHWrl9_02otNI7dO8_vP5k/view?usp=drivesdk</t>
  </si>
  <si>
    <t>อครา  คำท้วม</t>
  </si>
  <si>
    <t>https://drive.google.com/file/d/1a6cz3VFRsU55tP-_f8PQO844VLNPCX2t/view?usp=drivesdk</t>
  </si>
  <si>
    <t>อชิรญา  อ่อนเปรี้ยว</t>
  </si>
  <si>
    <t>https://drive.google.com/file/d/1YzBvzbTI6sB4cj5ux-8Q-72lSTozEyEF/view?usp=drivesdk</t>
  </si>
  <si>
    <t>อภิสรา  บุญเกื้อ</t>
  </si>
  <si>
    <t>https://drive.google.com/file/d/1RuU_Go54k-wRyt4MwKTYYpoEs_6w-i6B/view?usp=drivesdk</t>
  </si>
  <si>
    <t>อริสา  หฤทัยบริรักษ์</t>
  </si>
  <si>
    <t>https://drive.google.com/file/d/18VDkXneUrqvA-dGdX3c22ID3VK-tvunK/view?usp=drivesdk</t>
  </si>
  <si>
    <t>ไอลดา  ศาลากิจ</t>
  </si>
  <si>
    <t>ผลรวมชั่วโมง ประจำปี 67</t>
  </si>
  <si>
    <t>เทอม 1</t>
  </si>
  <si>
    <t>เทอม 2</t>
  </si>
  <si>
    <t>นักเรียนบังคับบัญชา</t>
  </si>
  <si>
    <t>นักเรียน น. เทอม 1</t>
  </si>
  <si>
    <t>ชั่วโมงรวม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</si>
</sst>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0">
    <font>
      <sz val="10.0"/>
      <color rgb="FF000000"/>
      <name val="Arial"/>
      <scheme val="minor"/>
    </font>
    <font>
      <sz val="16.0"/>
      <color rgb="FFFFFFFF"/>
      <name val="Sarabun"/>
    </font>
    <font>
      <b/>
      <sz val="16.0"/>
      <color rgb="FF073763"/>
      <name val="Sarabun"/>
    </font>
    <font/>
    <font>
      <color theme="1"/>
      <name val="Sarabun"/>
    </font>
    <font>
      <sz val="16.0"/>
      <color theme="1"/>
      <name val="Sarabun"/>
    </font>
    <font>
      <b/>
      <i/>
      <sz val="16.0"/>
      <color rgb="FF073763"/>
      <name val="Sarabun"/>
    </font>
    <font>
      <b/>
      <sz val="16.0"/>
      <color theme="1"/>
      <name val="Sarabun"/>
    </font>
    <font>
      <b/>
      <sz val="18.0"/>
      <color rgb="FF073763"/>
      <name val="Sarabun"/>
    </font>
    <font>
      <b/>
      <sz val="18.0"/>
      <color theme="1"/>
      <name val="Sarabun"/>
    </font>
    <font>
      <b/>
      <sz val="16.0"/>
      <color rgb="FF000000"/>
      <name val="Sarabun"/>
    </font>
    <font>
      <sz val="17.0"/>
      <color rgb="FFFFFFFF"/>
      <name val="Sarabun"/>
    </font>
    <font>
      <u/>
      <sz val="16.0"/>
      <color rgb="FF1155CC"/>
      <name val="Sarabun"/>
    </font>
    <font>
      <b/>
      <sz val="21.0"/>
      <color theme="1"/>
      <name val="TH SarabunPSK"/>
    </font>
    <font>
      <b/>
      <sz val="21.0"/>
      <color rgb="FF000000"/>
      <name val="TH SarabunPSK"/>
    </font>
    <font>
      <b/>
      <sz val="15.0"/>
      <color theme="1"/>
      <name val="TH SarabunPSK"/>
    </font>
    <font>
      <sz val="18.0"/>
      <color theme="1"/>
      <name val="Sarabun"/>
    </font>
    <font>
      <b/>
      <i/>
      <sz val="16.0"/>
      <color rgb="FFFFFFFF"/>
      <name val="Sarabun"/>
    </font>
    <font>
      <u/>
      <sz val="16.0"/>
      <color rgb="FF0000FF"/>
      <name val="Sarabun"/>
    </font>
    <font>
      <u/>
      <sz val="18.0"/>
      <color rgb="FF1155CC"/>
      <name val="Sarabun"/>
    </font>
    <font>
      <sz val="17.0"/>
      <color theme="1"/>
      <name val="Sarabun"/>
    </font>
    <font>
      <u/>
      <sz val="18.0"/>
      <color rgb="FF0000FF"/>
      <name val="Sarabun"/>
    </font>
    <font>
      <u/>
      <sz val="18.0"/>
      <color rgb="FF1155CC"/>
      <name val="Sarabun"/>
    </font>
    <font>
      <b/>
      <sz val="16.0"/>
      <color rgb="FFFF0000"/>
      <name val="Sarabun"/>
    </font>
    <font>
      <b/>
      <sz val="17.0"/>
      <color rgb="FF073763"/>
      <name val="Sarabun"/>
    </font>
    <font>
      <u/>
      <sz val="18.0"/>
      <color rgb="FF1155CC"/>
      <name val="Sarabun"/>
    </font>
    <font>
      <sz val="15.0"/>
      <color theme="1"/>
      <name val="TH SarabunPSK"/>
    </font>
    <font>
      <b/>
      <sz val="17.0"/>
      <color rgb="FF000000"/>
      <name val="Sarabun"/>
    </font>
    <font>
      <u/>
      <sz val="18.0"/>
      <color rgb="FF0000FF"/>
    </font>
    <font>
      <u/>
      <sz val="18.0"/>
      <color rgb="FF0000FF"/>
      <name val="Sarabun"/>
    </font>
    <font>
      <u/>
      <sz val="18.0"/>
      <color rgb="FF0000FF"/>
      <name val="Sarabun"/>
    </font>
    <font>
      <u/>
      <sz val="18.0"/>
      <color rgb="FF0000FF"/>
      <name val="Sarabun"/>
    </font>
    <font>
      <u/>
      <color rgb="FF0000FF"/>
      <name val="Sarabun"/>
    </font>
    <font>
      <b/>
      <sz val="16.0"/>
      <color rgb="FF073763"/>
      <name val="&quot;TH SarabunPSK&quot;"/>
    </font>
    <font>
      <u/>
      <color rgb="FF0000FF"/>
      <name val="Sarabun"/>
    </font>
    <font>
      <u/>
      <color rgb="FF0000FF"/>
      <name val="Sarabun"/>
    </font>
    <font>
      <b/>
      <sz val="17.0"/>
      <color theme="1"/>
      <name val="Sarabun"/>
    </font>
    <font>
      <sz val="16.0"/>
      <color theme="1"/>
      <name val="Arial"/>
      <scheme val="minor"/>
    </font>
    <font>
      <sz val="17.0"/>
      <color theme="1"/>
      <name val="Arial"/>
      <scheme val="minor"/>
    </font>
    <font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073763"/>
        <bgColor rgb="FF073763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FF84E0"/>
        <bgColor rgb="FFFF84E0"/>
      </patternFill>
    </fill>
    <fill>
      <patternFill patternType="solid">
        <fgColor rgb="FFFF6699"/>
        <bgColor rgb="FFFF6699"/>
      </patternFill>
    </fill>
    <fill>
      <patternFill patternType="solid">
        <fgColor rgb="FFCC99FF"/>
        <bgColor rgb="FFCC99FF"/>
      </patternFill>
    </fill>
    <fill>
      <patternFill patternType="solid">
        <fgColor rgb="FFA9D08E"/>
        <bgColor rgb="FFA9D08E"/>
      </patternFill>
    </fill>
    <fill>
      <patternFill patternType="solid">
        <fgColor rgb="FFEA9999"/>
        <bgColor rgb="FFEA9999"/>
      </patternFill>
    </fill>
    <fill>
      <patternFill patternType="solid">
        <fgColor rgb="FF8EA9DB"/>
        <bgColor rgb="FF8EA9DB"/>
      </patternFill>
    </fill>
    <fill>
      <patternFill patternType="solid">
        <fgColor rgb="FFFFFF99"/>
        <bgColor rgb="FFFFFF99"/>
      </patternFill>
    </fill>
    <fill>
      <patternFill patternType="solid">
        <fgColor rgb="FF00FFFF"/>
        <bgColor rgb="FF00FFFF"/>
      </patternFill>
    </fill>
    <fill>
      <patternFill patternType="solid">
        <fgColor rgb="FF45818E"/>
        <bgColor rgb="FF45818E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CC0000"/>
      </bottom>
    </border>
    <border>
      <left style="thin">
        <color rgb="FF000000"/>
      </left>
      <right style="thin">
        <color rgb="FF000000"/>
      </right>
      <bottom style="thick">
        <color rgb="FFCC0000"/>
      </bottom>
    </border>
    <border>
      <left style="thin">
        <color rgb="FF000000"/>
      </left>
      <right style="thin">
        <color rgb="FF000000"/>
      </right>
      <top style="thick">
        <color rgb="FFCC0000"/>
      </top>
      <bottom style="thin">
        <color rgb="FF000000"/>
      </bottom>
    </border>
    <border>
      <bottom style="thick">
        <color rgb="FFCC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 readingOrder="0" vertical="bottom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5" fillId="0" fontId="6" numFmtId="0" xfId="0" applyAlignment="1" applyBorder="1" applyFont="1">
      <alignment horizontal="center"/>
    </xf>
    <xf borderId="5" fillId="0" fontId="7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2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/>
    </xf>
    <xf borderId="5" fillId="0" fontId="8" numFmtId="0" xfId="0" applyAlignment="1" applyBorder="1" applyFont="1">
      <alignment horizontal="center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left" vertical="bottom"/>
    </xf>
    <xf borderId="5" fillId="0" fontId="9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6" fillId="0" fontId="3" numFmtId="0" xfId="0" applyBorder="1" applyFont="1"/>
    <xf borderId="1" fillId="2" fontId="7" numFmtId="0" xfId="0" applyAlignment="1" applyBorder="1" applyFill="1" applyFont="1">
      <alignment horizontal="center" vertical="bottom"/>
    </xf>
    <xf borderId="1" fillId="0" fontId="7" numFmtId="0" xfId="0" applyAlignment="1" applyBorder="1" applyFont="1">
      <alignment horizontal="center" readingOrder="0" vertical="bottom"/>
    </xf>
    <xf borderId="7" fillId="0" fontId="3" numFmtId="0" xfId="0" applyBorder="1" applyFont="1"/>
    <xf borderId="8" fillId="3" fontId="11" numFmtId="0" xfId="0" applyAlignment="1" applyBorder="1" applyFill="1" applyFont="1">
      <alignment horizontal="center" textRotation="90"/>
    </xf>
    <xf borderId="6" fillId="0" fontId="2" numFmtId="0" xfId="0" applyAlignment="1" applyBorder="1" applyFont="1">
      <alignment horizontal="center" vertical="bottom"/>
    </xf>
    <xf borderId="6" fillId="0" fontId="12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1" fillId="0" fontId="13" numFmtId="0" xfId="0" applyAlignment="1" applyBorder="1" applyFont="1">
      <alignment horizontal="center" readingOrder="0" vertical="bottom"/>
    </xf>
    <xf borderId="1" fillId="0" fontId="14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/>
    </xf>
    <xf borderId="1" fillId="0" fontId="15" numFmtId="0" xfId="0" applyAlignment="1" applyBorder="1" applyFont="1">
      <alignment horizontal="center" readingOrder="0"/>
    </xf>
    <xf borderId="6" fillId="2" fontId="2" numFmtId="0" xfId="0" applyAlignment="1" applyBorder="1" applyFont="1">
      <alignment horizontal="center" vertical="bottom"/>
    </xf>
    <xf borderId="6" fillId="0" fontId="4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6" fillId="0" fontId="16" numFmtId="0" xfId="0" applyAlignment="1" applyBorder="1" applyFont="1">
      <alignment horizontal="center" vertical="bottom"/>
    </xf>
    <xf borderId="6" fillId="4" fontId="17" numFmtId="0" xfId="0" applyAlignment="1" applyBorder="1" applyFill="1" applyFont="1">
      <alignment horizontal="center" vertical="bottom"/>
    </xf>
    <xf borderId="6" fillId="5" fontId="1" numFmtId="0" xfId="0" applyAlignment="1" applyBorder="1" applyFill="1" applyFont="1">
      <alignment horizontal="center" readingOrder="0" vertical="bottom"/>
    </xf>
    <xf borderId="1" fillId="6" fontId="2" numFmtId="0" xfId="0" applyAlignment="1" applyBorder="1" applyFill="1" applyFont="1">
      <alignment horizontal="center" readingOrder="0" vertical="bottom"/>
    </xf>
    <xf borderId="6" fillId="5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8" fillId="0" fontId="3" numFmtId="0" xfId="0" applyBorder="1" applyFont="1"/>
    <xf borderId="1" fillId="0" fontId="2" numFmtId="0" xfId="0" applyAlignment="1" applyBorder="1" applyFont="1">
      <alignment horizontal="center" vertical="bottom"/>
    </xf>
    <xf borderId="1" fillId="0" fontId="18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vertical="bottom"/>
    </xf>
    <xf borderId="1" fillId="0" fontId="16" numFmtId="0" xfId="0" applyAlignment="1" applyBorder="1" applyFont="1">
      <alignment horizontal="center" vertical="bottom"/>
    </xf>
    <xf borderId="1" fillId="4" fontId="17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readingOrder="0" vertical="bottom"/>
    </xf>
    <xf borderId="6" fillId="6" fontId="2" numFmtId="0" xfId="0" applyAlignment="1" applyBorder="1" applyFont="1">
      <alignment horizontal="center" readingOrder="0" vertical="bottom"/>
    </xf>
    <xf borderId="1" fillId="5" fontId="5" numFmtId="0" xfId="0" applyAlignment="1" applyBorder="1" applyFont="1">
      <alignment horizontal="center" vertical="bottom"/>
    </xf>
    <xf borderId="1" fillId="0" fontId="19" numFmtId="0" xfId="0" applyAlignment="1" applyBorder="1" applyFont="1">
      <alignment horizontal="center" vertical="bottom"/>
    </xf>
    <xf borderId="1" fillId="0" fontId="8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1" fillId="0" fontId="20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16" numFmtId="0" xfId="0" applyAlignment="1" applyBorder="1" applyFont="1">
      <alignment horizontal="center" readingOrder="0" vertical="bottom"/>
    </xf>
    <xf borderId="1" fillId="0" fontId="21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readingOrder="0" vertical="bottom"/>
    </xf>
    <xf borderId="1" fillId="7" fontId="2" numFmtId="0" xfId="0" applyAlignment="1" applyBorder="1" applyFill="1" applyFont="1">
      <alignment horizontal="center" vertical="bottom"/>
    </xf>
    <xf borderId="1" fillId="7" fontId="22" numFmtId="0" xfId="0" applyAlignment="1" applyBorder="1" applyFont="1">
      <alignment horizontal="center" vertical="bottom"/>
    </xf>
    <xf borderId="1" fillId="7" fontId="2" numFmtId="0" xfId="0" applyAlignment="1" applyBorder="1" applyFont="1">
      <alignment vertical="bottom"/>
    </xf>
    <xf borderId="1" fillId="7" fontId="8" numFmtId="0" xfId="0" applyAlignment="1" applyBorder="1" applyFont="1">
      <alignment vertical="bottom"/>
    </xf>
    <xf borderId="1" fillId="7" fontId="13" numFmtId="0" xfId="0" applyAlignment="1" applyBorder="1" applyFont="1">
      <alignment horizontal="center" readingOrder="0" vertical="bottom"/>
    </xf>
    <xf borderId="1" fillId="7" fontId="14" numFmtId="0" xfId="0" applyAlignment="1" applyBorder="1" applyFont="1">
      <alignment horizontal="center" readingOrder="0"/>
    </xf>
    <xf borderId="1" fillId="7" fontId="13" numFmtId="0" xfId="0" applyAlignment="1" applyBorder="1" applyFont="1">
      <alignment horizontal="center"/>
    </xf>
    <xf borderId="1" fillId="7" fontId="15" numFmtId="0" xfId="0" applyAlignment="1" applyBorder="1" applyFont="1">
      <alignment horizontal="center" readingOrder="0"/>
    </xf>
    <xf borderId="6" fillId="7" fontId="23" numFmtId="0" xfId="0" applyAlignment="1" applyBorder="1" applyFont="1">
      <alignment horizontal="center" vertical="bottom"/>
    </xf>
    <xf borderId="1" fillId="7" fontId="4" numFmtId="0" xfId="0" applyAlignment="1" applyBorder="1" applyFont="1">
      <alignment vertical="bottom"/>
    </xf>
    <xf borderId="1" fillId="7" fontId="5" numFmtId="0" xfId="0" applyAlignment="1" applyBorder="1" applyFont="1">
      <alignment horizontal="center" vertical="bottom"/>
    </xf>
    <xf borderId="1" fillId="7" fontId="16" numFmtId="0" xfId="0" applyAlignment="1" applyBorder="1" applyFont="1">
      <alignment horizontal="center" vertical="bottom"/>
    </xf>
    <xf borderId="1" fillId="7" fontId="17" numFmtId="0" xfId="0" applyAlignment="1" applyBorder="1" applyFont="1">
      <alignment horizontal="center" vertical="bottom"/>
    </xf>
    <xf borderId="1" fillId="7" fontId="1" numFmtId="0" xfId="0" applyAlignment="1" applyBorder="1" applyFont="1">
      <alignment horizontal="center" readingOrder="0" vertical="bottom"/>
    </xf>
    <xf borderId="6" fillId="7" fontId="2" numFmtId="0" xfId="0" applyAlignment="1" applyBorder="1" applyFont="1">
      <alignment horizontal="center" readingOrder="0" vertical="bottom"/>
    </xf>
    <xf borderId="0" fillId="7" fontId="4" numFmtId="0" xfId="0" applyAlignment="1" applyFont="1">
      <alignment vertical="bottom"/>
    </xf>
    <xf borderId="1" fillId="0" fontId="24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vertical="bottom"/>
    </xf>
    <xf borderId="9" fillId="0" fontId="25" numFmtId="0" xfId="0" applyAlignment="1" applyBorder="1" applyFont="1">
      <alignment horizontal="center" vertical="bottom"/>
    </xf>
    <xf borderId="9" fillId="0" fontId="2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9" fillId="0" fontId="26" numFmtId="0" xfId="0" applyAlignment="1" applyBorder="1" applyFont="1">
      <alignment horizontal="center" readingOrder="0"/>
    </xf>
    <xf borderId="9" fillId="0" fontId="4" numFmtId="0" xfId="0" applyAlignment="1" applyBorder="1" applyFont="1">
      <alignment vertical="bottom"/>
    </xf>
    <xf borderId="9" fillId="0" fontId="5" numFmtId="0" xfId="0" applyAlignment="1" applyBorder="1" applyFont="1">
      <alignment horizontal="center" vertical="bottom"/>
    </xf>
    <xf borderId="9" fillId="0" fontId="16" numFmtId="0" xfId="0" applyAlignment="1" applyBorder="1" applyFont="1">
      <alignment horizontal="center" vertical="bottom"/>
    </xf>
    <xf borderId="9" fillId="4" fontId="17" numFmtId="0" xfId="0" applyAlignment="1" applyBorder="1" applyFont="1">
      <alignment horizontal="center" vertical="bottom"/>
    </xf>
    <xf borderId="9" fillId="5" fontId="1" numFmtId="0" xfId="0" applyAlignment="1" applyBorder="1" applyFont="1">
      <alignment horizontal="center" readingOrder="0" vertical="bottom"/>
    </xf>
    <xf borderId="10" fillId="6" fontId="2" numFmtId="0" xfId="0" applyAlignment="1" applyBorder="1" applyFont="1">
      <alignment horizontal="center" readingOrder="0" vertical="bottom"/>
    </xf>
    <xf borderId="9" fillId="5" fontId="4" numFmtId="0" xfId="0" applyAlignment="1" applyBorder="1" applyFont="1">
      <alignment vertical="bottom"/>
    </xf>
    <xf borderId="5" fillId="8" fontId="27" numFmtId="0" xfId="0" applyAlignment="1" applyBorder="1" applyFill="1" applyFont="1">
      <alignment horizontal="center" readingOrder="0" textRotation="90"/>
    </xf>
    <xf borderId="6" fillId="0" fontId="2" numFmtId="0" xfId="0" applyAlignment="1" applyBorder="1" applyFont="1">
      <alignment horizontal="center" readingOrder="0" vertical="bottom"/>
    </xf>
    <xf borderId="6" fillId="0" fontId="28" numFmtId="0" xfId="0" applyAlignment="1" applyBorder="1" applyFont="1">
      <alignment horizontal="center" readingOrder="0"/>
    </xf>
    <xf borderId="6" fillId="0" fontId="8" numFmtId="0" xfId="0" applyBorder="1" applyFont="1"/>
    <xf borderId="6" fillId="2" fontId="5" numFmtId="0" xfId="0" applyAlignment="1" applyBorder="1" applyFont="1">
      <alignment horizontal="center" readingOrder="0" vertical="bottom"/>
    </xf>
    <xf borderId="6" fillId="0" fontId="4" numFmtId="0" xfId="0" applyBorder="1" applyFont="1"/>
    <xf borderId="6" fillId="0" fontId="5" numFmtId="0" xfId="0" applyAlignment="1" applyBorder="1" applyFont="1">
      <alignment horizontal="center"/>
    </xf>
    <xf borderId="6" fillId="9" fontId="2" numFmtId="0" xfId="0" applyAlignment="1" applyBorder="1" applyFill="1" applyFont="1">
      <alignment horizontal="center" readingOrder="0" vertical="bottom"/>
    </xf>
    <xf borderId="6" fillId="10" fontId="5" numFmtId="0" xfId="0" applyBorder="1" applyFill="1" applyFont="1"/>
    <xf borderId="0" fillId="0" fontId="5" numFmtId="0" xfId="0" applyFont="1"/>
    <xf borderId="1" fillId="0" fontId="29" numFmtId="0" xfId="0" applyAlignment="1" applyBorder="1" applyFont="1">
      <alignment horizontal="center" readingOrder="0"/>
    </xf>
    <xf borderId="1" fillId="2" fontId="2" numFmtId="0" xfId="0" applyAlignment="1" applyBorder="1" applyFont="1">
      <alignment vertical="bottom"/>
    </xf>
    <xf borderId="1" fillId="2" fontId="8" numFmtId="0" xfId="0" applyBorder="1" applyFont="1"/>
    <xf borderId="1" fillId="2" fontId="5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vertical="bottom"/>
    </xf>
    <xf borderId="1" fillId="0" fontId="4" numFmtId="0" xfId="0" applyBorder="1" applyFont="1"/>
    <xf borderId="1" fillId="0" fontId="5" numFmtId="0" xfId="0" applyAlignment="1" applyBorder="1" applyFont="1">
      <alignment horizontal="center"/>
    </xf>
    <xf borderId="1" fillId="10" fontId="5" numFmtId="0" xfId="0" applyBorder="1" applyFont="1"/>
    <xf borderId="1" fillId="0" fontId="8" numFmtId="0" xfId="0" applyBorder="1" applyFont="1"/>
    <xf borderId="1" fillId="0" fontId="5" numFmtId="0" xfId="0" applyAlignment="1" applyBorder="1" applyFont="1">
      <alignment horizontal="center" readingOrder="0"/>
    </xf>
    <xf borderId="1" fillId="0" fontId="30" numFmtId="0" xfId="0" applyAlignment="1" applyBorder="1" applyFont="1">
      <alignment horizontal="center" readingOrder="0"/>
    </xf>
    <xf borderId="1" fillId="0" fontId="8" numFmtId="0" xfId="0" applyAlignment="1" applyBorder="1" applyFont="1">
      <alignment readingOrder="0"/>
    </xf>
    <xf borderId="1" fillId="2" fontId="8" numFmtId="0" xfId="0" applyAlignment="1" applyBorder="1" applyFont="1">
      <alignment readingOrder="0"/>
    </xf>
    <xf borderId="1" fillId="0" fontId="8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 vertical="bottom"/>
    </xf>
    <xf borderId="9" fillId="0" fontId="31" numFmtId="0" xfId="0" applyAlignment="1" applyBorder="1" applyFont="1">
      <alignment horizontal="center" readingOrder="0"/>
    </xf>
    <xf borderId="9" fillId="0" fontId="8" numFmtId="0" xfId="0" applyAlignment="1" applyBorder="1" applyFont="1">
      <alignment readingOrder="0"/>
    </xf>
    <xf borderId="10" fillId="0" fontId="5" numFmtId="0" xfId="0" applyAlignment="1" applyBorder="1" applyFont="1">
      <alignment horizontal="center" vertical="bottom"/>
    </xf>
    <xf borderId="9" fillId="0" fontId="5" numFmtId="0" xfId="0" applyAlignment="1" applyBorder="1" applyFont="1">
      <alignment horizontal="center" readingOrder="0" vertical="bottom"/>
    </xf>
    <xf borderId="9" fillId="0" fontId="8" numFmtId="0" xfId="0" applyAlignment="1" applyBorder="1" applyFont="1">
      <alignment horizontal="center" vertical="bottom"/>
    </xf>
    <xf borderId="9" fillId="0" fontId="4" numFmtId="0" xfId="0" applyBorder="1" applyFont="1"/>
    <xf borderId="9" fillId="0" fontId="5" numFmtId="0" xfId="0" applyAlignment="1" applyBorder="1" applyFont="1">
      <alignment horizontal="center" readingOrder="0"/>
    </xf>
    <xf borderId="10" fillId="9" fontId="2" numFmtId="0" xfId="0" applyAlignment="1" applyBorder="1" applyFont="1">
      <alignment horizontal="center" readingOrder="0" vertical="bottom"/>
    </xf>
    <xf borderId="9" fillId="10" fontId="5" numFmtId="0" xfId="0" applyBorder="1" applyFont="1"/>
    <xf borderId="0" fillId="11" fontId="20" numFmtId="0" xfId="0" applyAlignment="1" applyFill="1" applyFont="1">
      <alignment horizontal="center" readingOrder="0" textRotation="90"/>
    </xf>
    <xf borderId="0" fillId="0" fontId="32" numFmtId="0" xfId="0" applyAlignment="1" applyFont="1">
      <alignment readingOrder="0"/>
    </xf>
    <xf borderId="11" fillId="0" fontId="8" numFmtId="0" xfId="0" applyAlignment="1" applyBorder="1" applyFont="1">
      <alignment readingOrder="0"/>
    </xf>
    <xf borderId="11" fillId="0" fontId="5" numFmtId="0" xfId="0" applyAlignment="1" applyBorder="1" applyFont="1">
      <alignment horizontal="center" vertical="bottom"/>
    </xf>
    <xf borderId="6" fillId="0" fontId="26" numFmtId="0" xfId="0" applyAlignment="1" applyBorder="1" applyFont="1">
      <alignment horizontal="center" readingOrder="0"/>
    </xf>
    <xf borderId="6" fillId="0" fontId="26" numFmtId="0" xfId="0" applyAlignment="1" applyBorder="1" applyFont="1">
      <alignment horizontal="center"/>
    </xf>
    <xf borderId="6" fillId="0" fontId="8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readingOrder="0"/>
    </xf>
    <xf borderId="1" fillId="12" fontId="33" numFmtId="0" xfId="0" applyAlignment="1" applyBorder="1" applyFill="1" applyFont="1">
      <alignment horizontal="center" readingOrder="0"/>
    </xf>
    <xf borderId="0" fillId="0" fontId="4" numFmtId="0" xfId="0" applyFont="1"/>
    <xf borderId="6" fillId="0" fontId="8" numFmtId="0" xfId="0" applyAlignment="1" applyBorder="1" applyFont="1">
      <alignment readingOrder="0"/>
    </xf>
    <xf borderId="1" fillId="0" fontId="26" numFmtId="0" xfId="0" applyAlignment="1" applyBorder="1" applyFont="1">
      <alignment horizontal="center"/>
    </xf>
    <xf borderId="1" fillId="0" fontId="5" numFmtId="0" xfId="0" applyAlignment="1" applyBorder="1" applyFont="1">
      <alignment readingOrder="0"/>
    </xf>
    <xf borderId="1" fillId="13" fontId="33" numFmtId="0" xfId="0" applyAlignment="1" applyBorder="1" applyFill="1" applyFont="1">
      <alignment horizontal="center" readingOrder="0"/>
    </xf>
    <xf borderId="1" fillId="2" fontId="33" numFmtId="0" xfId="0" applyAlignment="1" applyBorder="1" applyFont="1">
      <alignment horizontal="center" readingOrder="0"/>
    </xf>
    <xf borderId="1" fillId="14" fontId="33" numFmtId="0" xfId="0" applyAlignment="1" applyBorder="1" applyFill="1" applyFont="1">
      <alignment horizontal="center" readingOrder="0"/>
    </xf>
    <xf borderId="1" fillId="15" fontId="2" numFmtId="0" xfId="0" applyAlignment="1" applyBorder="1" applyFill="1" applyFont="1">
      <alignment horizontal="center" readingOrder="0" vertical="bottom"/>
    </xf>
    <xf borderId="0" fillId="15" fontId="34" numFmtId="0" xfId="0" applyAlignment="1" applyFont="1">
      <alignment readingOrder="0"/>
    </xf>
    <xf borderId="1" fillId="15" fontId="2" numFmtId="0" xfId="0" applyAlignment="1" applyBorder="1" applyFont="1">
      <alignment vertical="bottom"/>
    </xf>
    <xf borderId="6" fillId="15" fontId="8" numFmtId="0" xfId="0" applyAlignment="1" applyBorder="1" applyFont="1">
      <alignment readingOrder="0"/>
    </xf>
    <xf borderId="6" fillId="15" fontId="5" numFmtId="0" xfId="0" applyAlignment="1" applyBorder="1" applyFont="1">
      <alignment horizontal="center" vertical="bottom"/>
    </xf>
    <xf borderId="6" fillId="15" fontId="26" numFmtId="0" xfId="0" applyAlignment="1" applyBorder="1" applyFont="1">
      <alignment horizontal="center" readingOrder="0"/>
    </xf>
    <xf borderId="1" fillId="15" fontId="26" numFmtId="0" xfId="0" applyAlignment="1" applyBorder="1" applyFont="1">
      <alignment horizontal="center"/>
    </xf>
    <xf borderId="6" fillId="15" fontId="26" numFmtId="0" xfId="0" applyAlignment="1" applyBorder="1" applyFont="1">
      <alignment horizontal="center"/>
    </xf>
    <xf borderId="1" fillId="15" fontId="2" numFmtId="0" xfId="0" applyAlignment="1" applyBorder="1" applyFont="1">
      <alignment horizontal="center" vertical="bottom"/>
    </xf>
    <xf borderId="1" fillId="15" fontId="8" numFmtId="0" xfId="0" applyAlignment="1" applyBorder="1" applyFont="1">
      <alignment horizontal="center" vertical="bottom"/>
    </xf>
    <xf borderId="1" fillId="15" fontId="4" numFmtId="0" xfId="0" applyBorder="1" applyFont="1"/>
    <xf borderId="1" fillId="15" fontId="5" numFmtId="0" xfId="0" applyAlignment="1" applyBorder="1" applyFont="1">
      <alignment horizontal="center" readingOrder="0"/>
    </xf>
    <xf borderId="1" fillId="15" fontId="17" numFmtId="0" xfId="0" applyAlignment="1" applyBorder="1" applyFont="1">
      <alignment horizontal="center" vertical="bottom"/>
    </xf>
    <xf borderId="1" fillId="15" fontId="5" numFmtId="0" xfId="0" applyAlignment="1" applyBorder="1" applyFont="1">
      <alignment readingOrder="0"/>
    </xf>
    <xf borderId="1" fillId="7" fontId="33" numFmtId="0" xfId="0" applyAlignment="1" applyBorder="1" applyFont="1">
      <alignment horizontal="center" readingOrder="0"/>
    </xf>
    <xf borderId="0" fillId="15" fontId="4" numFmtId="0" xfId="0" applyFont="1"/>
    <xf borderId="1" fillId="16" fontId="33" numFmtId="0" xfId="0" applyAlignment="1" applyBorder="1" applyFill="1" applyFont="1">
      <alignment horizontal="center" readingOrder="0"/>
    </xf>
    <xf borderId="1" fillId="0" fontId="26" numFmtId="0" xfId="0" applyAlignment="1" applyBorder="1" applyFont="1">
      <alignment horizontal="center" readingOrder="0"/>
    </xf>
    <xf borderId="1" fillId="17" fontId="33" numFmtId="0" xfId="0" applyAlignment="1" applyBorder="1" applyFill="1" applyFont="1">
      <alignment horizontal="center" readingOrder="0"/>
    </xf>
    <xf borderId="8" fillId="14" fontId="33" numFmtId="0" xfId="0" applyAlignment="1" applyBorder="1" applyFont="1">
      <alignment horizontal="center" readingOrder="0"/>
    </xf>
    <xf borderId="6" fillId="14" fontId="33" numFmtId="0" xfId="0" applyAlignment="1" applyBorder="1" applyFont="1">
      <alignment horizontal="center" readingOrder="0"/>
    </xf>
    <xf borderId="1" fillId="15" fontId="26" numFmtId="0" xfId="0" applyAlignment="1" applyBorder="1" applyFont="1">
      <alignment horizontal="center" readingOrder="0"/>
    </xf>
    <xf borderId="1" fillId="0" fontId="33" numFmtId="0" xfId="0" applyAlignment="1" applyBorder="1" applyFont="1">
      <alignment horizontal="center" readingOrder="0"/>
    </xf>
    <xf borderId="12" fillId="0" fontId="35" numFmtId="0" xfId="0" applyAlignment="1" applyBorder="1" applyFont="1">
      <alignment readingOrder="0"/>
    </xf>
    <xf borderId="10" fillId="0" fontId="8" numFmtId="0" xfId="0" applyAlignment="1" applyBorder="1" applyFont="1">
      <alignment readingOrder="0"/>
    </xf>
    <xf borderId="9" fillId="0" fontId="26" numFmtId="0" xfId="0" applyAlignment="1" applyBorder="1" applyFont="1">
      <alignment horizontal="center"/>
    </xf>
    <xf borderId="9" fillId="0" fontId="5" numFmtId="0" xfId="0" applyAlignment="1" applyBorder="1" applyFont="1">
      <alignment readingOrder="0"/>
    </xf>
    <xf borderId="9" fillId="0" fontId="5" numFmtId="0" xfId="0" applyBorder="1" applyFont="1"/>
    <xf borderId="0" fillId="18" fontId="36" numFmtId="0" xfId="0" applyAlignment="1" applyFill="1" applyFont="1">
      <alignment horizontal="center" readingOrder="0" textRotation="90"/>
    </xf>
    <xf borderId="13" fillId="0" fontId="2" numFmtId="0" xfId="0" applyAlignment="1" applyBorder="1" applyFont="1">
      <alignment vertical="bottom"/>
    </xf>
    <xf borderId="6" fillId="0" fontId="8" numFmtId="0" xfId="0" applyAlignment="1" applyBorder="1" applyFont="1">
      <alignment readingOrder="0"/>
    </xf>
    <xf borderId="6" fillId="0" fontId="37" numFmtId="0" xfId="0" applyAlignment="1" applyBorder="1" applyFont="1">
      <alignment horizontal="center"/>
    </xf>
    <xf borderId="5" fillId="0" fontId="26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6" fillId="0" fontId="4" numFmtId="0" xfId="0" applyBorder="1" applyFont="1"/>
    <xf borderId="2" fillId="0" fontId="2" numFmtId="0" xfId="0" applyAlignment="1" applyBorder="1" applyFont="1">
      <alignment vertical="bottom"/>
    </xf>
    <xf borderId="1" fillId="0" fontId="8" numFmtId="0" xfId="0" applyAlignment="1" applyBorder="1" applyFont="1">
      <alignment readingOrder="0"/>
    </xf>
    <xf borderId="6" fillId="0" fontId="38" numFmtId="0" xfId="0" applyAlignment="1" applyBorder="1" applyFont="1">
      <alignment horizontal="center" readingOrder="0"/>
    </xf>
    <xf borderId="13" fillId="0" fontId="37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4" numFmtId="0" xfId="0" applyBorder="1" applyFont="1"/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1" fillId="0" fontId="20" numFmtId="0" xfId="0" applyAlignment="1" applyBorder="1" applyFont="1">
      <alignment horizontal="center" readingOrder="0"/>
    </xf>
    <xf borderId="6" fillId="0" fontId="37" numFmtId="0" xfId="0" applyAlignment="1" applyBorder="1" applyFont="1">
      <alignment horizontal="center"/>
    </xf>
    <xf borderId="0" fillId="0" fontId="37" numFmtId="0" xfId="0" applyFont="1"/>
    <xf borderId="0" fillId="0" fontId="5" numFmtId="0" xfId="0" applyAlignment="1" applyFont="1">
      <alignment horizontal="center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readingOrder="0"/>
    </xf>
    <xf borderId="1" fillId="0" fontId="24" numFmtId="0" xfId="0" applyAlignment="1" applyBorder="1" applyFont="1">
      <alignment horizontal="center" readingOrder="0"/>
    </xf>
    <xf borderId="1" fillId="0" fontId="36" numFmtId="0" xfId="0" applyAlignment="1" applyBorder="1" applyFont="1">
      <alignment horizontal="center" readingOrder="0" vertical="bottom"/>
    </xf>
    <xf borderId="6" fillId="0" fontId="24" numFmtId="0" xfId="0" applyAlignment="1" applyBorder="1" applyFont="1">
      <alignment horizontal="center" readingOrder="0" vertical="bottom"/>
    </xf>
    <xf borderId="6" fillId="2" fontId="5" numFmtId="0" xfId="0" applyAlignment="1" applyBorder="1" applyFont="1">
      <alignment horizontal="center" vertical="bottom"/>
    </xf>
    <xf borderId="6" fillId="2" fontId="24" numFmtId="0" xfId="0" applyAlignment="1" applyBorder="1" applyFont="1">
      <alignment horizontal="center" readingOrder="0" vertical="bottom"/>
    </xf>
    <xf borderId="1" fillId="2" fontId="4" numFmtId="0" xfId="0" applyBorder="1" applyFont="1"/>
    <xf borderId="1" fillId="2" fontId="5" numFmtId="0" xfId="0" applyAlignment="1" applyBorder="1" applyFont="1">
      <alignment horizontal="center"/>
    </xf>
    <xf borderId="0" fillId="2" fontId="39" numFmtId="0" xfId="0" applyFont="1"/>
    <xf borderId="0" fillId="2" fontId="7" numFmtId="0" xfId="0" applyAlignment="1" applyFont="1">
      <alignment horizontal="center"/>
    </xf>
    <xf borderId="0" fillId="2" fontId="4" numFmtId="0" xfId="0" applyAlignment="1" applyFont="1">
      <alignment vertical="bottom"/>
    </xf>
    <xf borderId="1" fillId="2" fontId="8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readingOrder="0"/>
    </xf>
    <xf borderId="1" fillId="19" fontId="2" numFmtId="0" xfId="0" applyAlignment="1" applyBorder="1" applyFill="1" applyFont="1">
      <alignment vertical="bottom"/>
    </xf>
    <xf borderId="1" fillId="19" fontId="8" numFmtId="0" xfId="0" applyAlignment="1" applyBorder="1" applyFont="1">
      <alignment readingOrder="0"/>
    </xf>
    <xf borderId="6" fillId="19" fontId="5" numFmtId="0" xfId="0" applyAlignment="1" applyBorder="1" applyFont="1">
      <alignment horizontal="center" vertical="bottom"/>
    </xf>
    <xf borderId="6" fillId="19" fontId="24" numFmtId="0" xfId="0" applyAlignment="1" applyBorder="1" applyFont="1">
      <alignment horizontal="center" readingOrder="0" vertical="bottom"/>
    </xf>
    <xf borderId="1" fillId="19" fontId="2" numFmtId="0" xfId="0" applyAlignment="1" applyBorder="1" applyFont="1">
      <alignment horizontal="center" vertical="bottom"/>
    </xf>
    <xf borderId="1" fillId="19" fontId="8" numFmtId="0" xfId="0" applyAlignment="1" applyBorder="1" applyFont="1">
      <alignment horizontal="center" vertical="bottom"/>
    </xf>
    <xf borderId="1" fillId="19" fontId="5" numFmtId="0" xfId="0" applyAlignment="1" applyBorder="1" applyFont="1">
      <alignment horizontal="center" readingOrder="0"/>
    </xf>
    <xf borderId="1" fillId="19" fontId="20" numFmtId="0" xfId="0" applyAlignment="1" applyBorder="1" applyFont="1">
      <alignment horizontal="center" readingOrder="0"/>
    </xf>
    <xf borderId="0" fillId="19" fontId="39" numFmtId="0" xfId="0" applyFont="1"/>
    <xf borderId="0" fillId="19" fontId="4" numFmtId="0" xfId="0" applyAlignment="1" applyFont="1">
      <alignment vertical="bottom"/>
    </xf>
    <xf borderId="5" fillId="0" fontId="24" numFmtId="0" xfId="0" applyAlignment="1" applyBorder="1" applyFont="1">
      <alignment horizontal="center" readingOrder="0"/>
    </xf>
    <xf borderId="1" fillId="9" fontId="2" numFmtId="0" xfId="0" applyAlignment="1" applyBorder="1" applyFont="1">
      <alignment vertical="bottom"/>
    </xf>
    <xf borderId="1" fillId="9" fontId="8" numFmtId="0" xfId="0" applyBorder="1" applyFont="1"/>
    <xf borderId="6" fillId="9" fontId="5" numFmtId="0" xfId="0" applyAlignment="1" applyBorder="1" applyFont="1">
      <alignment horizontal="center" vertical="bottom"/>
    </xf>
    <xf borderId="6" fillId="9" fontId="24" numFmtId="0" xfId="0" applyAlignment="1" applyBorder="1" applyFont="1">
      <alignment horizontal="center" readingOrder="0" vertical="bottom"/>
    </xf>
    <xf borderId="1" fillId="9" fontId="2" numFmtId="0" xfId="0" applyAlignment="1" applyBorder="1" applyFont="1">
      <alignment horizontal="center" vertical="bottom"/>
    </xf>
    <xf borderId="1" fillId="9" fontId="8" numFmtId="0" xfId="0" applyAlignment="1" applyBorder="1" applyFont="1">
      <alignment readingOrder="0"/>
    </xf>
    <xf borderId="6" fillId="9" fontId="2" numFmtId="0" xfId="0" applyAlignment="1" applyBorder="1" applyFont="1">
      <alignment vertical="bottom"/>
    </xf>
    <xf borderId="6" fillId="9" fontId="8" numFmtId="0" xfId="0" applyBorder="1" applyFont="1"/>
    <xf borderId="6" fillId="9" fontId="2" numFmtId="0" xfId="0" applyAlignment="1" applyBorder="1" applyFont="1">
      <alignment horizontal="center" vertical="bottom"/>
    </xf>
    <xf borderId="6" fillId="9" fontId="4" numFmtId="0" xfId="0" applyBorder="1" applyFont="1"/>
    <xf borderId="1" fillId="9" fontId="24" numFmtId="0" xfId="0" applyAlignment="1" applyBorder="1" applyFont="1">
      <alignment horizontal="center" readingOrder="0" vertical="bottom"/>
    </xf>
    <xf borderId="1" fillId="9" fontId="4" numFmtId="0" xfId="0" applyBorder="1" applyFont="1"/>
    <xf borderId="1" fillId="2" fontId="24" numFmtId="0" xfId="0" applyAlignment="1" applyBorder="1" applyFont="1">
      <alignment horizontal="center" readingOrder="0" vertical="bottom"/>
    </xf>
    <xf borderId="1" fillId="9" fontId="8" numFmtId="0" xfId="0" applyAlignment="1" applyBorder="1" applyFont="1">
      <alignment horizontal="center" vertical="bottom"/>
    </xf>
    <xf borderId="1" fillId="9" fontId="8" numFmtId="0" xfId="0" applyAlignment="1" applyBorder="1" applyFont="1">
      <alignment horizontal="center" readingOrder="0"/>
    </xf>
    <xf borderId="1" fillId="18" fontId="2" numFmtId="0" xfId="0" applyAlignment="1" applyBorder="1" applyFont="1">
      <alignment vertical="bottom"/>
    </xf>
    <xf borderId="1" fillId="18" fontId="8" numFmtId="0" xfId="0" applyAlignment="1" applyBorder="1" applyFont="1">
      <alignment readingOrder="0"/>
    </xf>
    <xf borderId="6" fillId="18" fontId="5" numFmtId="0" xfId="0" applyAlignment="1" applyBorder="1" applyFont="1">
      <alignment horizontal="center" vertical="bottom"/>
    </xf>
    <xf borderId="6" fillId="18" fontId="24" numFmtId="0" xfId="0" applyAlignment="1" applyBorder="1" applyFont="1">
      <alignment horizontal="center" readingOrder="0" vertical="bottom"/>
    </xf>
    <xf borderId="1" fillId="18" fontId="2" numFmtId="0" xfId="0" applyAlignment="1" applyBorder="1" applyFont="1">
      <alignment horizontal="center" vertical="bottom"/>
    </xf>
    <xf borderId="1" fillId="18" fontId="8" numFmtId="0" xfId="0" applyAlignment="1" applyBorder="1" applyFont="1">
      <alignment horizontal="center" vertical="bottom"/>
    </xf>
    <xf borderId="9" fillId="9" fontId="2" numFmtId="0" xfId="0" applyAlignment="1" applyBorder="1" applyFont="1">
      <alignment vertical="bottom"/>
    </xf>
    <xf borderId="9" fillId="9" fontId="8" numFmtId="0" xfId="0" applyAlignment="1" applyBorder="1" applyFont="1">
      <alignment readingOrder="0"/>
    </xf>
    <xf borderId="10" fillId="9" fontId="5" numFmtId="0" xfId="0" applyAlignment="1" applyBorder="1" applyFont="1">
      <alignment horizontal="center" vertical="bottom"/>
    </xf>
    <xf borderId="9" fillId="9" fontId="24" numFmtId="0" xfId="0" applyAlignment="1" applyBorder="1" applyFont="1">
      <alignment horizontal="center" readingOrder="0" vertical="bottom"/>
    </xf>
    <xf borderId="9" fillId="9" fontId="2" numFmtId="0" xfId="0" applyAlignment="1" applyBorder="1" applyFont="1">
      <alignment horizontal="center" vertical="bottom"/>
    </xf>
    <xf borderId="9" fillId="9" fontId="8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J2qxBl8pa_4bjgun_yeqqq0uTpLWaeTa/view?usp=drivesdk" TargetMode="External"/><Relationship Id="rId190" Type="http://schemas.openxmlformats.org/officeDocument/2006/relationships/hyperlink" Target="https://drive.google.com/file/d/1s7-1NZPNpAb3KAZXk6Ek89M_SsCruDoN/view?usp=drivesdk" TargetMode="External"/><Relationship Id="rId42" Type="http://schemas.openxmlformats.org/officeDocument/2006/relationships/hyperlink" Target="https://drive.google.com/file/d/1BlNk19RqMYnGt21cUyJPmFzlkqlNTlEl/view?usp=drivesdk" TargetMode="External"/><Relationship Id="rId41" Type="http://schemas.openxmlformats.org/officeDocument/2006/relationships/hyperlink" Target="https://drive.google.com/file/d/19t-OjcQnz7ToTcaROi11ZAYjhmaPlqko/view?usp=drivesdk" TargetMode="External"/><Relationship Id="rId44" Type="http://schemas.openxmlformats.org/officeDocument/2006/relationships/hyperlink" Target="https://drive.google.com/file/d/17stAcJs2wCDE_186Zf8qJju2Su4m9iM3/view?usp=drivesdk" TargetMode="External"/><Relationship Id="rId194" Type="http://schemas.openxmlformats.org/officeDocument/2006/relationships/hyperlink" Target="https://drive.google.com/file/d/1OMktMHoeprxx_ULVkIsoMTbrF-R9Z7MR/view?usp=drivesdk" TargetMode="External"/><Relationship Id="rId43" Type="http://schemas.openxmlformats.org/officeDocument/2006/relationships/hyperlink" Target="https://drive.google.com/file/d/15CBN2jwDuQbGm7JxNtS06VKoYdNaxy4x/view?usp=drivesdk" TargetMode="External"/><Relationship Id="rId193" Type="http://schemas.openxmlformats.org/officeDocument/2006/relationships/hyperlink" Target="https://drive.google.com/file/d/1l3GhmtN42AHajMM2px035lRhj0HdHhZa/view?usp=drivesdk" TargetMode="External"/><Relationship Id="rId46" Type="http://schemas.openxmlformats.org/officeDocument/2006/relationships/hyperlink" Target="https://drive.google.com/file/d/1Chq3HbXfweJFdEJTkmR9AWjsu0dNXIg7/view?usp=drivesdk" TargetMode="External"/><Relationship Id="rId192" Type="http://schemas.openxmlformats.org/officeDocument/2006/relationships/hyperlink" Target="https://drive.google.com/file/d/1_PbUw2rxgyYAXAp5Ua8dITUD5l9Nad6X/view?usp=drivesdk" TargetMode="External"/><Relationship Id="rId45" Type="http://schemas.openxmlformats.org/officeDocument/2006/relationships/hyperlink" Target="https://drive.google.com/file/d/1y-w2JS-g4BSwScKkSQVtDvUfZtUhy3OD/view?usp=drivesdk" TargetMode="External"/><Relationship Id="rId191" Type="http://schemas.openxmlformats.org/officeDocument/2006/relationships/hyperlink" Target="https://drive.google.com/file/d/1R2JCVrGW3_VRQjGrtm17OyOgSoeZtXEe/view?usp=drivesdk" TargetMode="External"/><Relationship Id="rId48" Type="http://schemas.openxmlformats.org/officeDocument/2006/relationships/hyperlink" Target="https://drive.google.com/file/d/1vA-IWARP8fENeIoahBiIkH69OIjPDNZf/view?usp=drivesdk" TargetMode="External"/><Relationship Id="rId187" Type="http://schemas.openxmlformats.org/officeDocument/2006/relationships/hyperlink" Target="https://drive.google.com/file/d/1yt0iOvWg27MBA5Xb-slRmOEyqTjxuN-P/view?usp=drivesdk" TargetMode="External"/><Relationship Id="rId47" Type="http://schemas.openxmlformats.org/officeDocument/2006/relationships/hyperlink" Target="https://drive.google.com/file/d/1puI6CouxOLe4uDuoyVXWy2KDCfWyR-Qx/view?usp=drivesdk" TargetMode="External"/><Relationship Id="rId186" Type="http://schemas.openxmlformats.org/officeDocument/2006/relationships/hyperlink" Target="https://drive.google.com/file/d/1HI3Dc994qi2kHUqzlG89iRJ5eEFYNZQ6/view?usp=drivesdk" TargetMode="External"/><Relationship Id="rId185" Type="http://schemas.openxmlformats.org/officeDocument/2006/relationships/hyperlink" Target="https://drive.google.com/file/d/1Sm_RqCVqwK9Vf2r60_3x-BlDYPXLORme/view?usp=drivesdk" TargetMode="External"/><Relationship Id="rId49" Type="http://schemas.openxmlformats.org/officeDocument/2006/relationships/hyperlink" Target="https://drive.google.com/file/d/13p6C2aWs4sbTzN0B4ChuJCPyVlIeeD0Q/view?usp=drivesdk" TargetMode="External"/><Relationship Id="rId184" Type="http://schemas.openxmlformats.org/officeDocument/2006/relationships/hyperlink" Target="https://drive.google.com/file/d/1sfZOiM__Ukx4uzT4iG0rzTTzlJVak3At/view?usp=drivesdk" TargetMode="External"/><Relationship Id="rId189" Type="http://schemas.openxmlformats.org/officeDocument/2006/relationships/hyperlink" Target="https://drive.google.com/file/d/1iLEXJFCFmNNYgdqVEmLRz5VoHjrgUItN/view?usp=drivesdk" TargetMode="External"/><Relationship Id="rId188" Type="http://schemas.openxmlformats.org/officeDocument/2006/relationships/hyperlink" Target="https://drive.google.com/file/d/1XTxSjLFcjX97oSwrLI9h-yAEmg-eQRFo/view?usp=drivesdk" TargetMode="External"/><Relationship Id="rId31" Type="http://schemas.openxmlformats.org/officeDocument/2006/relationships/hyperlink" Target="https://drive.google.com/file/d/1RjSfdE06m7kI2E5xeCApwoSvxIDYa1_-/view?usp=drivesdk" TargetMode="External"/><Relationship Id="rId30" Type="http://schemas.openxmlformats.org/officeDocument/2006/relationships/hyperlink" Target="https://drive.google.com/file/d/1UtzPcSuopCcmQpNRk4Kjc8UpHsGirsL9/view?usp=drivesdk" TargetMode="External"/><Relationship Id="rId33" Type="http://schemas.openxmlformats.org/officeDocument/2006/relationships/hyperlink" Target="https://drive.google.com/file/d/12LcRZ5_dcv_bLS5SCKH7s8MNthK-rL9k/view?usp=drivesdk" TargetMode="External"/><Relationship Id="rId183" Type="http://schemas.openxmlformats.org/officeDocument/2006/relationships/hyperlink" Target="https://drive.google.com/file/d/10fZxG5p8LRtz1ezAnkhqRSEzYbqpJSIc/view?usp=drivesdk" TargetMode="External"/><Relationship Id="rId32" Type="http://schemas.openxmlformats.org/officeDocument/2006/relationships/hyperlink" Target="https://drive.google.com/file/d/12uteObUOy4ry0jDk2Aet2V6mUKDSsRYH/view?usp=drivesdk" TargetMode="External"/><Relationship Id="rId182" Type="http://schemas.openxmlformats.org/officeDocument/2006/relationships/hyperlink" Target="https://drive.google.com/file/d/1EISHGVSDz0o3txwIUzJ05hjb3WjXpIBZ/view?usp=drivesdk" TargetMode="External"/><Relationship Id="rId35" Type="http://schemas.openxmlformats.org/officeDocument/2006/relationships/hyperlink" Target="https://drive.google.com/file/d/1Z7HGZ9iFrx-hv5IGuZmJ5BWBFQGFU1MT/view?usp=drivesdk" TargetMode="External"/><Relationship Id="rId181" Type="http://schemas.openxmlformats.org/officeDocument/2006/relationships/hyperlink" Target="https://drive.google.com/file/d/1ZgFe10vzkGwnIJFAdT4bkqUliUvEWUYM/view?usp=drivesdk" TargetMode="External"/><Relationship Id="rId34" Type="http://schemas.openxmlformats.org/officeDocument/2006/relationships/hyperlink" Target="https://drive.google.com/file/d/1tHGrFz_1YR0844mZ5rK6K9Po9xvKheWd/view?usp=drivesdk" TargetMode="External"/><Relationship Id="rId180" Type="http://schemas.openxmlformats.org/officeDocument/2006/relationships/hyperlink" Target="https://drive.google.com/file/d/1BWtVFuLlwpDtOQ2Gvdoh_AbKwucJcFQ3/view?usp=drivesdk" TargetMode="External"/><Relationship Id="rId37" Type="http://schemas.openxmlformats.org/officeDocument/2006/relationships/hyperlink" Target="https://drive.google.com/file/d/1ZVQ28Tdl7SLL9oJrG3c947ZGOwnd4dQO/view?usp=drivesdk" TargetMode="External"/><Relationship Id="rId176" Type="http://schemas.openxmlformats.org/officeDocument/2006/relationships/hyperlink" Target="https://drive.google.com/file/d/10LEKLuLZorHpoSuefEMtoagRgRXHjIIL/view?usp=drivesdk" TargetMode="External"/><Relationship Id="rId36" Type="http://schemas.openxmlformats.org/officeDocument/2006/relationships/hyperlink" Target="https://drive.google.com/file/d/1tP4pXtk25VSGCC7w9keQaBjQmqG1ljI8/view?usp=drivesdk" TargetMode="External"/><Relationship Id="rId175" Type="http://schemas.openxmlformats.org/officeDocument/2006/relationships/hyperlink" Target="https://drive.google.com/file/d/1wKw6LMaHtmLP-_68FhiKwGY9cWvEc8aC/view?usp=drivesdk" TargetMode="External"/><Relationship Id="rId39" Type="http://schemas.openxmlformats.org/officeDocument/2006/relationships/hyperlink" Target="https://drive.google.com/file/d/1l17cSnW4JFPqf9bE3IeW6fAKxasMI5jH/view?usp=drivesdk" TargetMode="External"/><Relationship Id="rId174" Type="http://schemas.openxmlformats.org/officeDocument/2006/relationships/hyperlink" Target="https://drive.google.com/file/d/130d7RJUxe1KsntKVVFQ4VJGsDFwNwolo/view?usp=drivesdk" TargetMode="External"/><Relationship Id="rId38" Type="http://schemas.openxmlformats.org/officeDocument/2006/relationships/hyperlink" Target="https://drive.google.com/file/d/1LCK3HELYxI-ollUHbOJuAGHQgwOPu--5/view?usp=drivesdk" TargetMode="External"/><Relationship Id="rId173" Type="http://schemas.openxmlformats.org/officeDocument/2006/relationships/hyperlink" Target="https://drive.google.com/file/d/13SFSRv0AMUrGClPCWLLmC_wZCqK6p71K/view?usp=drivesdk" TargetMode="External"/><Relationship Id="rId179" Type="http://schemas.openxmlformats.org/officeDocument/2006/relationships/hyperlink" Target="https://drive.google.com/file/d/189Gn3FTEKICnNrKgPMWc6p0FsrV_RqTB/view?usp=drivesdk" TargetMode="External"/><Relationship Id="rId178" Type="http://schemas.openxmlformats.org/officeDocument/2006/relationships/hyperlink" Target="https://drive.google.com/file/d/13VyNjMoW5c-tVm37XAE1S_pFJLEqWiaY/view?usp=drivesdk" TargetMode="External"/><Relationship Id="rId177" Type="http://schemas.openxmlformats.org/officeDocument/2006/relationships/hyperlink" Target="https://drive.google.com/file/d/11G-olLPqWvl44xBq9IgqmuSXLL2tYFLs/view?usp=drivesdk" TargetMode="External"/><Relationship Id="rId20" Type="http://schemas.openxmlformats.org/officeDocument/2006/relationships/hyperlink" Target="https://drive.google.com/file/d/1SIkXzcuNWWrq1Q7Mu08H8p0p6mwv6l0U/view?usp=drivesdk" TargetMode="External"/><Relationship Id="rId22" Type="http://schemas.openxmlformats.org/officeDocument/2006/relationships/hyperlink" Target="https://drive.google.com/file/d/1p5wKj7h-PdOWaawRa_Qsw6UOBk3cFVlD/view?usp=drivesdk" TargetMode="External"/><Relationship Id="rId21" Type="http://schemas.openxmlformats.org/officeDocument/2006/relationships/hyperlink" Target="https://drive.google.com/file/d/1fib9tsgKQ-cFevQk8zZ6PwlX4KGlAOtP/view?usp=drivesdk" TargetMode="External"/><Relationship Id="rId24" Type="http://schemas.openxmlformats.org/officeDocument/2006/relationships/hyperlink" Target="https://drive.google.com/file/d/1OrwyIsXmUwI3EJ0URc4rMofN62oontF7/view?usp=drivesdk" TargetMode="External"/><Relationship Id="rId23" Type="http://schemas.openxmlformats.org/officeDocument/2006/relationships/hyperlink" Target="https://drive.google.com/file/d/1YGHmxHDgQ6PFAFwHHK95XZQEshpCpd-A/view?usp=drivesdk" TargetMode="External"/><Relationship Id="rId26" Type="http://schemas.openxmlformats.org/officeDocument/2006/relationships/hyperlink" Target="https://drive.google.com/file/d/1hGImcpidrrYWrJgFpg7QOufiNimgDsDz/view?usp=drivesdk" TargetMode="External"/><Relationship Id="rId25" Type="http://schemas.openxmlformats.org/officeDocument/2006/relationships/hyperlink" Target="https://drive.google.com/file/d/1lGsYer9rISjXVipHeAf3W3dnR38iOZ6T/view?usp=drivesdk" TargetMode="External"/><Relationship Id="rId28" Type="http://schemas.openxmlformats.org/officeDocument/2006/relationships/hyperlink" Target="https://drive.google.com/file/d/1fk9KgOo_ITQKl7kzL1pHmFoYmSzn2Wsi/view?usp=drivesdk" TargetMode="External"/><Relationship Id="rId27" Type="http://schemas.openxmlformats.org/officeDocument/2006/relationships/hyperlink" Target="https://drive.google.com/file/d/1Ho2wosoA6SKSbaAem8Aem_liNVLVhge6/view?usp=drivesdk" TargetMode="External"/><Relationship Id="rId29" Type="http://schemas.openxmlformats.org/officeDocument/2006/relationships/hyperlink" Target="https://drive.google.com/file/d/1Aqh-Z4DHoigRi_TRfO4oJITAdnRTvOqf/view?usp=drivesdk" TargetMode="External"/><Relationship Id="rId11" Type="http://schemas.openxmlformats.org/officeDocument/2006/relationships/hyperlink" Target="https://drive.google.com/file/d/1_7g0HaaJT7IO3fcxRpqIAWTvWPH9pvIu/view?usp=drivesdk" TargetMode="External"/><Relationship Id="rId10" Type="http://schemas.openxmlformats.org/officeDocument/2006/relationships/hyperlink" Target="https://drive.google.com/file/d/1xeVBGU0N0Q_KLCyAeEvS20-GfEuwgJg7/view?usp=drivesdk" TargetMode="External"/><Relationship Id="rId13" Type="http://schemas.openxmlformats.org/officeDocument/2006/relationships/hyperlink" Target="https://drive.google.com/file/d/1XKx3TLW_EX5tJyatc73dL_ut07-GyNSR/view?usp=drivesdk" TargetMode="External"/><Relationship Id="rId12" Type="http://schemas.openxmlformats.org/officeDocument/2006/relationships/hyperlink" Target="https://drive.google.com/file/d/17rcWlAX0x2LSXO_fsoACYPEPx9WzZgUi/view?usp=drivesdk" TargetMode="External"/><Relationship Id="rId15" Type="http://schemas.openxmlformats.org/officeDocument/2006/relationships/hyperlink" Target="https://drive.google.com/file/d/1qjlTvxvo_Mn59ZpIm3DsruDsZ7mUQjRz/view?usp=drivesdk" TargetMode="External"/><Relationship Id="rId198" Type="http://schemas.openxmlformats.org/officeDocument/2006/relationships/hyperlink" Target="https://drive.google.com/file/d/1VzmCAWno_J7HYSxiF1wV8-FgInVKoUMy/view?usp=drivesdk" TargetMode="External"/><Relationship Id="rId14" Type="http://schemas.openxmlformats.org/officeDocument/2006/relationships/hyperlink" Target="https://drive.google.com/file/d/1TorLHuCFTEPrN6a2QMbdkBR5ThQWv6-O/view?usp=drivesdk" TargetMode="External"/><Relationship Id="rId197" Type="http://schemas.openxmlformats.org/officeDocument/2006/relationships/hyperlink" Target="https://drive.google.com/file/d/1iuP-4FegvnHUc9XcfrOZKVmrVaCyNs5d/view?usp=drivesdk" TargetMode="External"/><Relationship Id="rId17" Type="http://schemas.openxmlformats.org/officeDocument/2006/relationships/hyperlink" Target="https://drive.google.com/file/d/1B9YOIrnZ8SbvclBSrK4ucNYDfnV899rV/view?usp=drivesdk" TargetMode="External"/><Relationship Id="rId196" Type="http://schemas.openxmlformats.org/officeDocument/2006/relationships/hyperlink" Target="https://drive.google.com/file/d/11wL1bQzVeAvwvlpET2hICxqkt8rspp37/view?usp=drivesdk" TargetMode="External"/><Relationship Id="rId16" Type="http://schemas.openxmlformats.org/officeDocument/2006/relationships/hyperlink" Target="https://drive.google.com/file/d/1zxSUAHfyzCrkMkZjEGJ23-_KOi1am2C1/view?usp=drivesdk" TargetMode="External"/><Relationship Id="rId195" Type="http://schemas.openxmlformats.org/officeDocument/2006/relationships/hyperlink" Target="https://drive.google.com/file/d/1OodVPnKV5s5aZyFyXHQY1nWmgzCOi8pc/view?usp=drivesdk" TargetMode="External"/><Relationship Id="rId19" Type="http://schemas.openxmlformats.org/officeDocument/2006/relationships/hyperlink" Target="https://drive.google.com/file/d/1khSYbJajZR3BGXVASM9aFZ3_fYvTTUFs/view?usp=drivesdk" TargetMode="External"/><Relationship Id="rId18" Type="http://schemas.openxmlformats.org/officeDocument/2006/relationships/hyperlink" Target="https://drive.google.com/file/d/1w1UZ7mCNZ7GgWKnRCdgXnr5IFCXWLCfy/view?usp=drivesdk" TargetMode="External"/><Relationship Id="rId199" Type="http://schemas.openxmlformats.org/officeDocument/2006/relationships/hyperlink" Target="https://drive.google.com/file/d/15BAUxj16slA0MwyHZCu6RKCITkjm6a96/view?usp=drivesdk" TargetMode="External"/><Relationship Id="rId84" Type="http://schemas.openxmlformats.org/officeDocument/2006/relationships/hyperlink" Target="https://drive.google.com/file/d/1iCIUkZVwiRHm7p0ab7ZWy2nf3kclCrRi/view" TargetMode="External"/><Relationship Id="rId83" Type="http://schemas.openxmlformats.org/officeDocument/2006/relationships/hyperlink" Target="https://drive.google.com/file/d/19EtiM2FJwm-xPwf8HE74JBOs6qrwPBEC/view" TargetMode="External"/><Relationship Id="rId86" Type="http://schemas.openxmlformats.org/officeDocument/2006/relationships/hyperlink" Target="https://drive.google.com/file/d/1ksvkhC_28cbE77cxNGZE3Y5_j5xm6IZk/view" TargetMode="External"/><Relationship Id="rId85" Type="http://schemas.openxmlformats.org/officeDocument/2006/relationships/hyperlink" Target="https://drive.google.com/file/d/1MSmxDTemOxhN1fSdxZI0LB-mEFBARPJK/view" TargetMode="External"/><Relationship Id="rId88" Type="http://schemas.openxmlformats.org/officeDocument/2006/relationships/hyperlink" Target="https://drive.google.com/file/d/1MI2cZ0kSnfxaiVC-NGrnt-kJ9lYc_QPI/view" TargetMode="External"/><Relationship Id="rId150" Type="http://schemas.openxmlformats.org/officeDocument/2006/relationships/hyperlink" Target="https://drive.google.com/file/d/16HaUaJX2FbqPb63bG_88p3VpZ85Qns3C/view?usp=drivesdk" TargetMode="External"/><Relationship Id="rId87" Type="http://schemas.openxmlformats.org/officeDocument/2006/relationships/hyperlink" Target="https://drive.google.com/file/d/11dINO39GddwVnVjDagpaWZ_gosViBuE4/view" TargetMode="External"/><Relationship Id="rId89" Type="http://schemas.openxmlformats.org/officeDocument/2006/relationships/hyperlink" Target="https://drive.google.com/file/d/1W9viOCBYrqj6FKnkLhGAQyUrZoZ-6PWw/view" TargetMode="External"/><Relationship Id="rId80" Type="http://schemas.openxmlformats.org/officeDocument/2006/relationships/hyperlink" Target="https://drive.google.com/file/d/17G05DCN1n0Zpp7oyrf3YXr68AXPWsH5M/view" TargetMode="External"/><Relationship Id="rId82" Type="http://schemas.openxmlformats.org/officeDocument/2006/relationships/hyperlink" Target="https://drive.google.com/file/d/1bF8uI3GDHAopi6u15Ctgx-EDrn2f6ikU/view" TargetMode="External"/><Relationship Id="rId81" Type="http://schemas.openxmlformats.org/officeDocument/2006/relationships/hyperlink" Target="https://drive.google.com/file/d/1fletLMDk5fAQ2UUsRPlDTici4fbp4Vcy/view" TargetMode="External"/><Relationship Id="rId1" Type="http://schemas.openxmlformats.org/officeDocument/2006/relationships/hyperlink" Target="https://drive.google.com/file/d/1Hq061LfTAM_l0FZDl2p4NJQ1AvMhDmQf/view?usp=drivesdk" TargetMode="External"/><Relationship Id="rId2" Type="http://schemas.openxmlformats.org/officeDocument/2006/relationships/hyperlink" Target="https://drive.google.com/file/d/18hM_lz2F_zjt7HSlhPNKTGo-5MFZ_-WQ/view?usp=drivesdk" TargetMode="External"/><Relationship Id="rId3" Type="http://schemas.openxmlformats.org/officeDocument/2006/relationships/hyperlink" Target="https://drive.google.com/file/d/1KSM22Fj_VNDktDcjHkWRbqLTahFjuLZG/view?usp=drivesdk" TargetMode="External"/><Relationship Id="rId149" Type="http://schemas.openxmlformats.org/officeDocument/2006/relationships/hyperlink" Target="https://drive.google.com/file/d/13fXs5T4xG4ny2t0ET4h13oqj6PmLL2nK/view?usp=drivesdk" TargetMode="External"/><Relationship Id="rId4" Type="http://schemas.openxmlformats.org/officeDocument/2006/relationships/hyperlink" Target="https://drive.google.com/file/d/10gK9iXvgvgZJpiUYAoVdYArsSDfuclFP/view?usp=drivesdk" TargetMode="External"/><Relationship Id="rId148" Type="http://schemas.openxmlformats.org/officeDocument/2006/relationships/hyperlink" Target="https://drive.google.com/file/d/1DeCHqHvbNglovBqNfSbMRxkOgFF5hAhC/view?usp=drivesdk" TargetMode="External"/><Relationship Id="rId9" Type="http://schemas.openxmlformats.org/officeDocument/2006/relationships/hyperlink" Target="https://drive.google.com/file/d/1xKO7E9fbN0f3zXg59l4v2nfzOF6DaUps/view?usp=drivesdk" TargetMode="External"/><Relationship Id="rId143" Type="http://schemas.openxmlformats.org/officeDocument/2006/relationships/hyperlink" Target="https://drive.google.com/file/d/1shyPXb3gRGU5Ss9EIbLw0FmEIRog_KNr/view?usp=drivesdk" TargetMode="External"/><Relationship Id="rId142" Type="http://schemas.openxmlformats.org/officeDocument/2006/relationships/hyperlink" Target="https://drive.google.com/file/d/1cs_JtmPJpAI-ZWLb54XkpJ9v4IjWUmXI/view?usp=drivesdk" TargetMode="External"/><Relationship Id="rId141" Type="http://schemas.openxmlformats.org/officeDocument/2006/relationships/hyperlink" Target="https://drive.google.com/file/d/13PZQELJ82gQN_kZ3iwfBpH5uynbCC1cG/view?usp=drivesdk" TargetMode="External"/><Relationship Id="rId140" Type="http://schemas.openxmlformats.org/officeDocument/2006/relationships/hyperlink" Target="https://drive.google.com/file/d/1aZgjuqh4wbrpaXi9fs7s_iagZW2rTbT2/view?usp=drivesdk" TargetMode="External"/><Relationship Id="rId5" Type="http://schemas.openxmlformats.org/officeDocument/2006/relationships/hyperlink" Target="https://drive.google.com/file/d/1mnElq3vZJ4VmMHwM8xhtLkXw56OBBy9a/view?usp=drivesdk" TargetMode="External"/><Relationship Id="rId147" Type="http://schemas.openxmlformats.org/officeDocument/2006/relationships/hyperlink" Target="https://drive.google.com/file/d/1FLA8OvFwoQOBOMkauF2iqxea2bnErZ-7/view?usp=drivesdk" TargetMode="External"/><Relationship Id="rId6" Type="http://schemas.openxmlformats.org/officeDocument/2006/relationships/hyperlink" Target="https://drive.google.com/file/d/1h0J0xP8Wni0L9xzKaPqdPHf8I41PdjOu/view?usp=drivesdk" TargetMode="External"/><Relationship Id="rId146" Type="http://schemas.openxmlformats.org/officeDocument/2006/relationships/hyperlink" Target="https://drive.google.com/file/d/1S16NCM3ameP8glDEKAPxJgKHqvRWarQ5/view?usp=drivesdk" TargetMode="External"/><Relationship Id="rId7" Type="http://schemas.openxmlformats.org/officeDocument/2006/relationships/hyperlink" Target="https://drive.google.com/file/d/1hqOeal59cz4BhqbrzL76_GvXt4GZqBuD/view?usp=drivesdk" TargetMode="External"/><Relationship Id="rId145" Type="http://schemas.openxmlformats.org/officeDocument/2006/relationships/hyperlink" Target="https://drive.google.com/file/d/1IO3XoUzQ2HE9uCgrkBhNHCW3NK2VgW3M/view?usp=drivesdk" TargetMode="External"/><Relationship Id="rId8" Type="http://schemas.openxmlformats.org/officeDocument/2006/relationships/hyperlink" Target="https://drive.google.com/file/d/12WrGSI8ET9CG2_z60Uz_UPr5qoC2Xc6D/view?usp=drivesdk" TargetMode="External"/><Relationship Id="rId144" Type="http://schemas.openxmlformats.org/officeDocument/2006/relationships/hyperlink" Target="https://drive.google.com/file/d/1ksPAUyQtggDIqgjjhcIH-mq9isz1L-TT/view?usp=drivesdk" TargetMode="External"/><Relationship Id="rId73" Type="http://schemas.openxmlformats.org/officeDocument/2006/relationships/hyperlink" Target="https://drive.google.com/file/d/1fNQ95kWwRLi_2_0t9-1DqwC0J3Yaheuo/view" TargetMode="External"/><Relationship Id="rId72" Type="http://schemas.openxmlformats.org/officeDocument/2006/relationships/hyperlink" Target="https://drive.google.com/file/d/16Cv99j-GHvLswdgK92R4bPz1NIlvbSvr/view" TargetMode="External"/><Relationship Id="rId75" Type="http://schemas.openxmlformats.org/officeDocument/2006/relationships/hyperlink" Target="https://drive.google.com/file/d/1hQICm-TMG8bI_aqRGhr6J4vT72VRwJu5/view" TargetMode="External"/><Relationship Id="rId74" Type="http://schemas.openxmlformats.org/officeDocument/2006/relationships/hyperlink" Target="https://drive.google.com/file/d/1pe0YAhiKyi5GePoOB71K3ZWmgkv0RfQm/view" TargetMode="External"/><Relationship Id="rId77" Type="http://schemas.openxmlformats.org/officeDocument/2006/relationships/hyperlink" Target="https://drive.google.com/file/d/1Y7RbtmBEnX8t5CnP2GEe413P0w-06x7b/view" TargetMode="External"/><Relationship Id="rId76" Type="http://schemas.openxmlformats.org/officeDocument/2006/relationships/hyperlink" Target="https://drive.google.com/file/d/1C0uEY0SPvSQSv-DN3wEQtbONFbwwRBFc/view" TargetMode="External"/><Relationship Id="rId79" Type="http://schemas.openxmlformats.org/officeDocument/2006/relationships/hyperlink" Target="https://drive.google.com/file/d/195PEkV4A2XfXm5EWCvr7Sqmw55CEaZ54/view" TargetMode="External"/><Relationship Id="rId78" Type="http://schemas.openxmlformats.org/officeDocument/2006/relationships/hyperlink" Target="https://drive.google.com/file/d/1DnS-4WHEVX9FRzNaBTW-TD60rlR6BViO/view" TargetMode="External"/><Relationship Id="rId71" Type="http://schemas.openxmlformats.org/officeDocument/2006/relationships/hyperlink" Target="https://drive.google.com/file/d/1BlsMjCX7iKLuVsVMLfV2V2WCQI1I-ASA/view" TargetMode="External"/><Relationship Id="rId70" Type="http://schemas.openxmlformats.org/officeDocument/2006/relationships/hyperlink" Target="https://drive.google.com/file/d/1pvz7d5ryRLdmL0RYMA7dpyrCTypO1KWj/view" TargetMode="External"/><Relationship Id="rId139" Type="http://schemas.openxmlformats.org/officeDocument/2006/relationships/hyperlink" Target="https://drive.google.com/file/d/1iy_BbzTgZVfxxCnhWCSUcYcjBSoRq4Pm/view?usp=drivesdk" TargetMode="External"/><Relationship Id="rId138" Type="http://schemas.openxmlformats.org/officeDocument/2006/relationships/hyperlink" Target="https://drive.google.com/file/d/1LvlAQI9bDrWAIs_uCmMQFnIWUU4cOxsM/view?usp=drivesdk" TargetMode="External"/><Relationship Id="rId137" Type="http://schemas.openxmlformats.org/officeDocument/2006/relationships/hyperlink" Target="https://drive.google.com/file/d/1tXWGZoF9dSsh7M-EuetRuLBvu80tcYD3/view?usp=drivesdk" TargetMode="External"/><Relationship Id="rId132" Type="http://schemas.openxmlformats.org/officeDocument/2006/relationships/hyperlink" Target="https://drive.google.com/file/d/1SFNP6SxAGPu59FttOl-M60JUnO6p4g1Z/view?usp=drivesdk" TargetMode="External"/><Relationship Id="rId253" Type="http://schemas.openxmlformats.org/officeDocument/2006/relationships/hyperlink" Target="https://drive.google.com/file/d/1a6cz3VFRsU55tP-_f8PQO844VLNPCX2t/view?usp=drivesdk" TargetMode="External"/><Relationship Id="rId131" Type="http://schemas.openxmlformats.org/officeDocument/2006/relationships/hyperlink" Target="https://drive.google.com/file/d/1SFNP6SxAGPu59FttOl-M60JUnO6p4g1Z/view?usp=drivesdk" TargetMode="External"/><Relationship Id="rId252" Type="http://schemas.openxmlformats.org/officeDocument/2006/relationships/hyperlink" Target="https://drive.google.com/file/d/1R-voYZnLqvtHWrl9_02otNI7dO8_vP5k/view?usp=drivesdk" TargetMode="External"/><Relationship Id="rId130" Type="http://schemas.openxmlformats.org/officeDocument/2006/relationships/hyperlink" Target="https://drive.google.com/file/d/1d20whKBAb-1DODjC5pfIKHCTSzwAw8-p/view?usp=drivesdk" TargetMode="External"/><Relationship Id="rId251" Type="http://schemas.openxmlformats.org/officeDocument/2006/relationships/hyperlink" Target="https://drive.google.com/file/d/1_ujVNr0-xDBnX5ZX0M2xvr6MH0RSzSMC/view?usp=drivesdk" TargetMode="External"/><Relationship Id="rId250" Type="http://schemas.openxmlformats.org/officeDocument/2006/relationships/hyperlink" Target="https://drive.google.com/file/d/18KrieF_Gdg3Lha9ywbf6obEACMAoxP6x/view?usp=drivesdk" TargetMode="External"/><Relationship Id="rId136" Type="http://schemas.openxmlformats.org/officeDocument/2006/relationships/hyperlink" Target="https://drive.google.com/file/d/1lOQxJTiBOYKumzNl1LpD_nzuBx-D2Eyk/view?usp=drivesdk" TargetMode="External"/><Relationship Id="rId257" Type="http://schemas.openxmlformats.org/officeDocument/2006/relationships/drawing" Target="../drawings/drawing1.xml"/><Relationship Id="rId135" Type="http://schemas.openxmlformats.org/officeDocument/2006/relationships/hyperlink" Target="https://drive.google.com/file/d/18UJBPmHi8Ug-7FE_o3FNx-PjabFQwH_y/view?usp=drivesdk" TargetMode="External"/><Relationship Id="rId256" Type="http://schemas.openxmlformats.org/officeDocument/2006/relationships/hyperlink" Target="https://drive.google.com/file/d/18VDkXneUrqvA-dGdX3c22ID3VK-tvunK/view?usp=drivesdk" TargetMode="External"/><Relationship Id="rId134" Type="http://schemas.openxmlformats.org/officeDocument/2006/relationships/hyperlink" Target="https://drive.google.com/file/d/18UJBPmHi8Ug-7FE_o3FNx-PjabFQwH_y/view?usp=drivesdk" TargetMode="External"/><Relationship Id="rId255" Type="http://schemas.openxmlformats.org/officeDocument/2006/relationships/hyperlink" Target="https://drive.google.com/file/d/1RuU_Go54k-wRyt4MwKTYYpoEs_6w-i6B/view?usp=drivesdk" TargetMode="External"/><Relationship Id="rId133" Type="http://schemas.openxmlformats.org/officeDocument/2006/relationships/hyperlink" Target="https://drive.google.com/file/d/1uX-WriWTVWi4K0X6jRRBsCBt8aSwsjIM/view?usp=drivesdk" TargetMode="External"/><Relationship Id="rId254" Type="http://schemas.openxmlformats.org/officeDocument/2006/relationships/hyperlink" Target="https://drive.google.com/file/d/1YzBvzbTI6sB4cj5ux-8Q-72lSTozEyEF/view?usp=drivesdk" TargetMode="External"/><Relationship Id="rId62" Type="http://schemas.openxmlformats.org/officeDocument/2006/relationships/hyperlink" Target="https://drive.google.com/file/d/1r1mGokmsb2mIlP2eIWxV1VfhQoUeLMXk/view?usp=drivesdk" TargetMode="External"/><Relationship Id="rId61" Type="http://schemas.openxmlformats.org/officeDocument/2006/relationships/hyperlink" Target="https://drive.google.com/file/d/1EaPneoCGpm416eWZDl2zEeclNbG9K_Wm/view?usp=drivesdk" TargetMode="External"/><Relationship Id="rId64" Type="http://schemas.openxmlformats.org/officeDocument/2006/relationships/hyperlink" Target="https://drive.google.com/file/d/1aUQHiv-4QADQ8oVIIztnGBQt5EJ5Cw6e/view?usp=drivesdk" TargetMode="External"/><Relationship Id="rId63" Type="http://schemas.openxmlformats.org/officeDocument/2006/relationships/hyperlink" Target="https://drive.google.com/file/d/1EkbsMGkd4ZpplFU44KSxS_BRR9vluF8H/view?usp=drivesdk" TargetMode="External"/><Relationship Id="rId66" Type="http://schemas.openxmlformats.org/officeDocument/2006/relationships/hyperlink" Target="https://drive.google.com/file/d/1KcqaeYDTS6q0bxg8vBzQYB5OM8r3auOZ/view" TargetMode="External"/><Relationship Id="rId172" Type="http://schemas.openxmlformats.org/officeDocument/2006/relationships/hyperlink" Target="https://drive.google.com/file/d/1HfFmDx3Oqh5NyyNAnROgp8fw465Ef7D8/view?usp=drivesdk" TargetMode="External"/><Relationship Id="rId65" Type="http://schemas.openxmlformats.org/officeDocument/2006/relationships/hyperlink" Target="https://drive.google.com/file/d/1Ab5Al480tqqNdcvZW7GKkML5jG96tWWz/view" TargetMode="External"/><Relationship Id="rId171" Type="http://schemas.openxmlformats.org/officeDocument/2006/relationships/hyperlink" Target="https://drive.google.com/file/d/17VlbvBDsm7zAVGYdHgF1HsQiVJJgVlbJ/view?usp=drivesdk" TargetMode="External"/><Relationship Id="rId68" Type="http://schemas.openxmlformats.org/officeDocument/2006/relationships/hyperlink" Target="https://drive.google.com/file/d/1aQ0qPZ4kyYOTzAdBNsjNmsDPjONOQwmE/view" TargetMode="External"/><Relationship Id="rId170" Type="http://schemas.openxmlformats.org/officeDocument/2006/relationships/hyperlink" Target="https://drive.google.com/file/d/1MJe_PTsuMaqYLN3se2WUPRTXEmlFrU0B/view?usp=drivesdk" TargetMode="External"/><Relationship Id="rId67" Type="http://schemas.openxmlformats.org/officeDocument/2006/relationships/hyperlink" Target="https://drive.google.com/file/d/1L0nwCSvawEjWiU6KUu37dXX0yofGszQj/view" TargetMode="External"/><Relationship Id="rId60" Type="http://schemas.openxmlformats.org/officeDocument/2006/relationships/hyperlink" Target="https://drive.google.com/file/d/1u8NYw0T_TgkRyoy9rhUQHpylK0yVVq2b/view?usp=drivesdk" TargetMode="External"/><Relationship Id="rId165" Type="http://schemas.openxmlformats.org/officeDocument/2006/relationships/hyperlink" Target="https://drive.google.com/file/d/1FGGMA4ttYbrNtrqJxRilN7AZsfFT73iR/view?usp=drivesdk" TargetMode="External"/><Relationship Id="rId69" Type="http://schemas.openxmlformats.org/officeDocument/2006/relationships/hyperlink" Target="https://drive.google.com/file/d/1jTqchZIEWyuVP5aReD6bQRw8BrCXHfQ7/view" TargetMode="External"/><Relationship Id="rId164" Type="http://schemas.openxmlformats.org/officeDocument/2006/relationships/hyperlink" Target="https://drive.google.com/file/d/1aoN-bn8wGnmugnSdhTODeqsoCqpjyXAc/view?usp=drivesdk" TargetMode="External"/><Relationship Id="rId163" Type="http://schemas.openxmlformats.org/officeDocument/2006/relationships/hyperlink" Target="https://drive.google.com/file/d/1jzHCw9aIZXyNC1YIiqvbjJakfVBNnDL9/view?usp=drivesdk" TargetMode="External"/><Relationship Id="rId162" Type="http://schemas.openxmlformats.org/officeDocument/2006/relationships/hyperlink" Target="https://drive.google.com/file/d/11xaDBfV2l2scniXI4b1wNTQSSK3CyoUQ/view?usp=drivesdk" TargetMode="External"/><Relationship Id="rId169" Type="http://schemas.openxmlformats.org/officeDocument/2006/relationships/hyperlink" Target="https://drive.google.com/file/d/16dFNET19127JCkbDg566tL8rVje3xKJh/view?usp=drivesdk" TargetMode="External"/><Relationship Id="rId168" Type="http://schemas.openxmlformats.org/officeDocument/2006/relationships/hyperlink" Target="https://drive.google.com/file/d/1pT4WtBT8RqgYLTrxVEvQGB4pkvVyATcP/view?usp=drivesdk" TargetMode="External"/><Relationship Id="rId167" Type="http://schemas.openxmlformats.org/officeDocument/2006/relationships/hyperlink" Target="https://drive.google.com/file/d/1L8K-T6u4c60QAuLuhawkagecKwHrzgF0/view?usp=drivesdk" TargetMode="External"/><Relationship Id="rId166" Type="http://schemas.openxmlformats.org/officeDocument/2006/relationships/hyperlink" Target="https://drive.google.com/file/d/1R5wnJnmSpQEfpCwbJJpkD2tOPsZGXzui/view?usp=drivesdk" TargetMode="External"/><Relationship Id="rId51" Type="http://schemas.openxmlformats.org/officeDocument/2006/relationships/hyperlink" Target="https://drive.google.com/file/d/1DkP_CEv7zOtrq9SOxsOh_7tN3sNklTuF/view?usp=drivesdk" TargetMode="External"/><Relationship Id="rId50" Type="http://schemas.openxmlformats.org/officeDocument/2006/relationships/hyperlink" Target="https://drive.google.com/file/d/1UQNwo0RJkC4t9jymA3mi-EavKZW2HKMF/view?usp=drivesdk" TargetMode="External"/><Relationship Id="rId53" Type="http://schemas.openxmlformats.org/officeDocument/2006/relationships/hyperlink" Target="https://drive.google.com/file/d/15x6bUYfl6gh475kh6tElzJSY4zJ6Dyoy/view?usp=drivesdk" TargetMode="External"/><Relationship Id="rId52" Type="http://schemas.openxmlformats.org/officeDocument/2006/relationships/hyperlink" Target="https://drive.google.com/file/d/1w3ESlGI6-Mgb-tq0UOQ0jOpbR6DUkXf1/view?usp=drivesdk" TargetMode="External"/><Relationship Id="rId55" Type="http://schemas.openxmlformats.org/officeDocument/2006/relationships/hyperlink" Target="https://drive.google.com/file/d/1Ml4dJZVi3YaFotxGpdjONSWxB8Gd1sFh/view?usp=drivesdk" TargetMode="External"/><Relationship Id="rId161" Type="http://schemas.openxmlformats.org/officeDocument/2006/relationships/hyperlink" Target="https://drive.google.com/file/d/1uuTn4qAkH7B6OxgL1zt3zdjgJd-ubHiR/view?usp=drivesdk" TargetMode="External"/><Relationship Id="rId54" Type="http://schemas.openxmlformats.org/officeDocument/2006/relationships/hyperlink" Target="https://drive.google.com/file/d/1UENwIFHDJc33JaQ-ZQeV1i1ueD6F9xgN/view?usp=drivesdk" TargetMode="External"/><Relationship Id="rId160" Type="http://schemas.openxmlformats.org/officeDocument/2006/relationships/hyperlink" Target="https://drive.google.com/file/d/18edsCeNjOKn8OAXq-kXSSKRAqeEIhv3x/view?usp=drivesdk" TargetMode="External"/><Relationship Id="rId57" Type="http://schemas.openxmlformats.org/officeDocument/2006/relationships/hyperlink" Target="https://drive.google.com/file/d/1OPN7sX-nmOYB0u9iyZLy1N8gua5jqn5X/view?usp=drivesdk" TargetMode="External"/><Relationship Id="rId56" Type="http://schemas.openxmlformats.org/officeDocument/2006/relationships/hyperlink" Target="https://drive.google.com/file/d/1lu10RL6MuPxjTZvN-nzyEo6FNkkq89RL/view?usp=drivesdk" TargetMode="External"/><Relationship Id="rId159" Type="http://schemas.openxmlformats.org/officeDocument/2006/relationships/hyperlink" Target="https://drive.google.com/file/d/1FRFq41ogr0uKXTtSbdzwtnrXJn9_UPvs/view?usp=drivesdk" TargetMode="External"/><Relationship Id="rId59" Type="http://schemas.openxmlformats.org/officeDocument/2006/relationships/hyperlink" Target="https://drive.google.com/file/d/1A72jCEajs519tY9scIUIaqce9S0OFRQO/view?usp=drivesdk" TargetMode="External"/><Relationship Id="rId154" Type="http://schemas.openxmlformats.org/officeDocument/2006/relationships/hyperlink" Target="https://drive.google.com/file/d/1b6eGB2AoTKd_6_ss-IywfJRZkf6LcS7f/view?usp=drivesdk" TargetMode="External"/><Relationship Id="rId58" Type="http://schemas.openxmlformats.org/officeDocument/2006/relationships/hyperlink" Target="https://drive.google.com/file/d/1I8-S5QZuYHaXwoB1qF1EnMeg1QG_Yku4/view?usp=drivesdk" TargetMode="External"/><Relationship Id="rId153" Type="http://schemas.openxmlformats.org/officeDocument/2006/relationships/hyperlink" Target="https://drive.google.com/file/d/195W4b1YLkscnlTLupivAV5kBrX7TPMID/view?usp=drivesdk" TargetMode="External"/><Relationship Id="rId152" Type="http://schemas.openxmlformats.org/officeDocument/2006/relationships/hyperlink" Target="https://drive.google.com/file/d/1J7CMjuhGHcYBBCLRd0ljRtuQrfg_yvI6/view?usp=drivesdk" TargetMode="External"/><Relationship Id="rId151" Type="http://schemas.openxmlformats.org/officeDocument/2006/relationships/hyperlink" Target="https://drive.google.com/file/d/1h2jJ-Hl9NBHmwXPd6kbkGlTQYvilw31n/view?usp=drivesdk" TargetMode="External"/><Relationship Id="rId158" Type="http://schemas.openxmlformats.org/officeDocument/2006/relationships/hyperlink" Target="https://drive.google.com/file/d/1YTY1ju46o4ZXqlB32usZobFUczzaDJ4C/view?usp=drivesdk" TargetMode="External"/><Relationship Id="rId157" Type="http://schemas.openxmlformats.org/officeDocument/2006/relationships/hyperlink" Target="https://drive.google.com/file/d/1i8hYNylJWJp4ZyPqYLHLhZvJ21MNU3ws/view?usp=drivesdk" TargetMode="External"/><Relationship Id="rId156" Type="http://schemas.openxmlformats.org/officeDocument/2006/relationships/hyperlink" Target="https://drive.google.com/file/d/1QOfxxZZdbwj2RRy18QKUFdjXgDuMIBY5/view?usp=drivesdk" TargetMode="External"/><Relationship Id="rId155" Type="http://schemas.openxmlformats.org/officeDocument/2006/relationships/hyperlink" Target="https://drive.google.com/file/d/1AVlMN7Wj0t7AO6_kbERDJ-5TFY9tQPi5/view?usp=drivesdk" TargetMode="External"/><Relationship Id="rId107" Type="http://schemas.openxmlformats.org/officeDocument/2006/relationships/hyperlink" Target="https://drive.google.com/file/d/1o5keiXuGI-2aBl8s-ctk8ElgaNIS_ecD/view" TargetMode="External"/><Relationship Id="rId228" Type="http://schemas.openxmlformats.org/officeDocument/2006/relationships/hyperlink" Target="https://drive.google.com/file/d/1RE16TecBjYjhLVTy_bKYCvgkvnVhL_h8/view?usp=drivesdk" TargetMode="External"/><Relationship Id="rId106" Type="http://schemas.openxmlformats.org/officeDocument/2006/relationships/hyperlink" Target="https://drive.google.com/file/d/1iF6qoUiMmN40guLEpbpNH_ozINWNZJds/view" TargetMode="External"/><Relationship Id="rId227" Type="http://schemas.openxmlformats.org/officeDocument/2006/relationships/hyperlink" Target="https://drive.google.com/file/d/1fgQMMwEvSQcGkIiEN6b1lEY5Q0r4JwY2/view?usp=drivesdk" TargetMode="External"/><Relationship Id="rId105" Type="http://schemas.openxmlformats.org/officeDocument/2006/relationships/hyperlink" Target="https://drive.google.com/file/d/1SXCkmcZJE8_YTl-LXlqACEjS3eZmBcOC/view" TargetMode="External"/><Relationship Id="rId226" Type="http://schemas.openxmlformats.org/officeDocument/2006/relationships/hyperlink" Target="https://drive.google.com/file/d/1VhspARVNg9iD3KU0l_Vq8WSul2AxgoVk/view?usp=drivesdk" TargetMode="External"/><Relationship Id="rId104" Type="http://schemas.openxmlformats.org/officeDocument/2006/relationships/hyperlink" Target="https://drive.google.com/file/d/1t8g2HaBFwf1_zPsvmStpFEKwkoINaEMA/view" TargetMode="External"/><Relationship Id="rId225" Type="http://schemas.openxmlformats.org/officeDocument/2006/relationships/hyperlink" Target="https://drive.google.com/file/d/1IM7Iusk_iL-5FcX-jNZ0FoR4D8LMu5ZE/view?usp=drivesdk" TargetMode="External"/><Relationship Id="rId109" Type="http://schemas.openxmlformats.org/officeDocument/2006/relationships/hyperlink" Target="https://drive.google.com/file/d/12qcDRA6ZICNRdYDJ-Z9sXwaLCO3YcJCo/view" TargetMode="External"/><Relationship Id="rId108" Type="http://schemas.openxmlformats.org/officeDocument/2006/relationships/hyperlink" Target="https://drive.google.com/file/d/1oJoU-3SoKGOZya_K8dwmasIBZjr7iWS8/view" TargetMode="External"/><Relationship Id="rId229" Type="http://schemas.openxmlformats.org/officeDocument/2006/relationships/hyperlink" Target="https://drive.google.com/file/d/1imzFF1j4N1WqE3qQ4NoBkWdU-y-R_Zot/view?usp=drivesdk" TargetMode="External"/><Relationship Id="rId220" Type="http://schemas.openxmlformats.org/officeDocument/2006/relationships/hyperlink" Target="https://drive.google.com/file/d/1sGIVvi0JrsiCkNiQcEVkSCboPaypCY5E/view?usp=drivesdk" TargetMode="External"/><Relationship Id="rId103" Type="http://schemas.openxmlformats.org/officeDocument/2006/relationships/hyperlink" Target="https://drive.google.com/file/d/1CXwlfnHwQK2_GOCA0NIp8s7zsgzOMEvh/view" TargetMode="External"/><Relationship Id="rId224" Type="http://schemas.openxmlformats.org/officeDocument/2006/relationships/hyperlink" Target="https://drive.google.com/file/d/14Lp5ThkFUO47m-O4rbFytfLKKXo-Upx2/view?usp=drivesdk" TargetMode="External"/><Relationship Id="rId102" Type="http://schemas.openxmlformats.org/officeDocument/2006/relationships/hyperlink" Target="https://drive.google.com/file/d/17_uT_I58x_1FISpzHkjQ5xLv-SH_cs_A/view" TargetMode="External"/><Relationship Id="rId223" Type="http://schemas.openxmlformats.org/officeDocument/2006/relationships/hyperlink" Target="https://drive.google.com/file/d/1edULFVRyCy2fardAgl0kT86a-lkAmTwW/view?usp=drivesdk" TargetMode="External"/><Relationship Id="rId101" Type="http://schemas.openxmlformats.org/officeDocument/2006/relationships/hyperlink" Target="https://drive.google.com/file/d/10Lt05U2fQ301W_zAK9qYcmVJJsXo4VDS/view" TargetMode="External"/><Relationship Id="rId222" Type="http://schemas.openxmlformats.org/officeDocument/2006/relationships/hyperlink" Target="https://drive.google.com/file/d/1mD3Q77XGxOjX8hHHMQ2FyHg_Nr1ByU-N/view?usp=drivesdk" TargetMode="External"/><Relationship Id="rId100" Type="http://schemas.openxmlformats.org/officeDocument/2006/relationships/hyperlink" Target="https://drive.google.com/file/d/1krBB-ppNX-djOLWNEwV3QeBNw7t66dhq/view" TargetMode="External"/><Relationship Id="rId221" Type="http://schemas.openxmlformats.org/officeDocument/2006/relationships/hyperlink" Target="https://drive.google.com/file/d/1fjDtwPfJ3QfdpM32x-OAz1DpJl8M95CS/view?usp=drivesdk" TargetMode="External"/><Relationship Id="rId217" Type="http://schemas.openxmlformats.org/officeDocument/2006/relationships/hyperlink" Target="https://drive.google.com/file/d/1xyIFqh_Oncv8ruE_XuLGMiZWHza09XEX/view?usp=drivesdk" TargetMode="External"/><Relationship Id="rId216" Type="http://schemas.openxmlformats.org/officeDocument/2006/relationships/hyperlink" Target="https://drive.google.com/file/d/1qICD6Vn4f_8_O5ISUufvbzcD6VQxr8p9/view?usp=drivesdk" TargetMode="External"/><Relationship Id="rId215" Type="http://schemas.openxmlformats.org/officeDocument/2006/relationships/hyperlink" Target="https://drive.google.com/file/d/1D3uNe4epLFPxvrQGWgCVuqVwcb0yoqkM/view?usp=drivesdk" TargetMode="External"/><Relationship Id="rId214" Type="http://schemas.openxmlformats.org/officeDocument/2006/relationships/hyperlink" Target="https://drive.google.com/file/d/1YO7_gwXFU7FAyx4QoGmBUKFH73LRK1f8/view?usp=drivesdk" TargetMode="External"/><Relationship Id="rId219" Type="http://schemas.openxmlformats.org/officeDocument/2006/relationships/hyperlink" Target="https://drive.google.com/file/d/1zN_KuvdrNSmXbSAhQ-6wQ3eNuHaodiNi/view?usp=drivesdk" TargetMode="External"/><Relationship Id="rId218" Type="http://schemas.openxmlformats.org/officeDocument/2006/relationships/hyperlink" Target="https://drive.google.com/file/d/1LKK_JszHN3cS2cjWJbHl03wZ1aq-Vrz2/view?usp=drivesdk" TargetMode="External"/><Relationship Id="rId213" Type="http://schemas.openxmlformats.org/officeDocument/2006/relationships/hyperlink" Target="https://drive.google.com/file/d/1tH4j9GZdkpyf4kGyWmzmSbe9MCV-HMIf/view?usp=drivesdk" TargetMode="External"/><Relationship Id="rId212" Type="http://schemas.openxmlformats.org/officeDocument/2006/relationships/hyperlink" Target="https://drive.google.com/file/d/1czwqSVWDLQJ0KRzlwBgTR2ywGZlnInfX/view?usp=drivesdk" TargetMode="External"/><Relationship Id="rId211" Type="http://schemas.openxmlformats.org/officeDocument/2006/relationships/hyperlink" Target="https://drive.google.com/file/d/1itUoGIC7YN0IvZf9F3AkkhpTA2tnjT0-/view?usp=drivesdk" TargetMode="External"/><Relationship Id="rId210" Type="http://schemas.openxmlformats.org/officeDocument/2006/relationships/hyperlink" Target="https://drive.google.com/file/d/15LrLd7IU7KNxYoJQ_L6osxg6npGBj750/view?usp=drivesdk" TargetMode="External"/><Relationship Id="rId129" Type="http://schemas.openxmlformats.org/officeDocument/2006/relationships/hyperlink" Target="https://drive.google.com/file/d/1FeJKGJk6pZh1s-F6bbSf56E7asKqYjVj/view?usp=drivesdk" TargetMode="External"/><Relationship Id="rId128" Type="http://schemas.openxmlformats.org/officeDocument/2006/relationships/hyperlink" Target="https://drive.google.com/file/d/1QrCvFKS352A6l-xkqaO26XbpA8DFklfP/view" TargetMode="External"/><Relationship Id="rId249" Type="http://schemas.openxmlformats.org/officeDocument/2006/relationships/hyperlink" Target="https://drive.google.com/file/d/1vU08LSBUq1zg0YBg8N29j15MbanXdNFG/view?usp=drivesdk" TargetMode="External"/><Relationship Id="rId127" Type="http://schemas.openxmlformats.org/officeDocument/2006/relationships/hyperlink" Target="https://drive.google.com/file/d/1LIVb1ULIIzZUQmnlCDEAoN4txBy9A95P/view" TargetMode="External"/><Relationship Id="rId248" Type="http://schemas.openxmlformats.org/officeDocument/2006/relationships/hyperlink" Target="https://drive.google.com/file/d/19mK5BrLa9PvZVHZ6Kc7LJdkDIE8Y3hIc/view?usp=drivesdk" TargetMode="External"/><Relationship Id="rId126" Type="http://schemas.openxmlformats.org/officeDocument/2006/relationships/hyperlink" Target="https://drive.google.com/file/d/1-Rpt6CqnajuQ2UOYA1WqFX6Y-lKsTnsm/view" TargetMode="External"/><Relationship Id="rId247" Type="http://schemas.openxmlformats.org/officeDocument/2006/relationships/hyperlink" Target="https://drive.google.com/file/d/1sIntdGKEfUs98xusH9kr9jWG2fuEyqZY/view?usp=drivesdk" TargetMode="External"/><Relationship Id="rId121" Type="http://schemas.openxmlformats.org/officeDocument/2006/relationships/hyperlink" Target="https://drive.google.com/file/d/1crtfdET5s_YaCOLxQrAiGneMdCl86HIo/view" TargetMode="External"/><Relationship Id="rId242" Type="http://schemas.openxmlformats.org/officeDocument/2006/relationships/hyperlink" Target="https://drive.google.com/file/d/1fvT1pb2eM7-Uwje6dz5mXaQCh5WRcUuB/view?usp=drivesdk" TargetMode="External"/><Relationship Id="rId120" Type="http://schemas.openxmlformats.org/officeDocument/2006/relationships/hyperlink" Target="https://drive.google.com/file/d/163PqJ1SYeg-2zTigflHc4h90pJISz4Rh/view" TargetMode="External"/><Relationship Id="rId241" Type="http://schemas.openxmlformats.org/officeDocument/2006/relationships/hyperlink" Target="https://drive.google.com/file/d/15gt2SmfqgEt50Bw5yoqpFAUvt1OkvqUr/view?usp=drivesdk" TargetMode="External"/><Relationship Id="rId240" Type="http://schemas.openxmlformats.org/officeDocument/2006/relationships/hyperlink" Target="https://drive.google.com/file/d/1RdFFGBu5j9GEg5L_FCM5ExZsb5iviApb/view?usp=drivesdk" TargetMode="External"/><Relationship Id="rId125" Type="http://schemas.openxmlformats.org/officeDocument/2006/relationships/hyperlink" Target="https://drive.google.com/file/d/1zWxN5jMyH8cwDdei6K7dpdK3d6Ag3yjx/view" TargetMode="External"/><Relationship Id="rId246" Type="http://schemas.openxmlformats.org/officeDocument/2006/relationships/hyperlink" Target="https://drive.google.com/file/d/1MSx6v0gEVfmBC1HqUM_wwAghBP7anmhO/view?usp=drivesdk" TargetMode="External"/><Relationship Id="rId124" Type="http://schemas.openxmlformats.org/officeDocument/2006/relationships/hyperlink" Target="https://drive.google.com/file/d/1r4-OafrOy69eE5oU1eyRXVxFtUDydRME/view" TargetMode="External"/><Relationship Id="rId245" Type="http://schemas.openxmlformats.org/officeDocument/2006/relationships/hyperlink" Target="https://drive.google.com/file/d/1Jmxp3NsiPO5VbqcP10oPqTdNmjftocyR/view?usp=drivesdk" TargetMode="External"/><Relationship Id="rId123" Type="http://schemas.openxmlformats.org/officeDocument/2006/relationships/hyperlink" Target="https://drive.google.com/file/d/1WCQjxSzwiOTaE6JZcy2mmR1NtDIxiQY4/view" TargetMode="External"/><Relationship Id="rId244" Type="http://schemas.openxmlformats.org/officeDocument/2006/relationships/hyperlink" Target="https://drive.google.com/file/d/1cyaqrMk9HEmghLdYmz8cMU_PAf3jzFRj/view?usp=drivesdk" TargetMode="External"/><Relationship Id="rId122" Type="http://schemas.openxmlformats.org/officeDocument/2006/relationships/hyperlink" Target="https://drive.google.com/file/d/1mfZMskt-UppUQyCMuei_QvZtUiFL7m11/view" TargetMode="External"/><Relationship Id="rId243" Type="http://schemas.openxmlformats.org/officeDocument/2006/relationships/hyperlink" Target="https://drive.google.com/file/d/1kpBRr5IPK2G57kLdfpdgxdmyGUmtbnR8/view?usp=drivesdk" TargetMode="External"/><Relationship Id="rId95" Type="http://schemas.openxmlformats.org/officeDocument/2006/relationships/hyperlink" Target="https://drive.google.com/file/d/1_I2Z_hl5FfG3F9_bis36GeT1peP8iOsb/view" TargetMode="External"/><Relationship Id="rId94" Type="http://schemas.openxmlformats.org/officeDocument/2006/relationships/hyperlink" Target="https://drive.google.com/file/d/1L_hLHCXId7Z53IWEr7Gmq0HD_fmYpOUK/view" TargetMode="External"/><Relationship Id="rId97" Type="http://schemas.openxmlformats.org/officeDocument/2006/relationships/hyperlink" Target="https://drive.google.com/file/d/1kbQqqG6xWfz2cEr7T4fJCx8j7EUBe19N/view" TargetMode="External"/><Relationship Id="rId96" Type="http://schemas.openxmlformats.org/officeDocument/2006/relationships/hyperlink" Target="https://drive.google.com/file/d/1EZ-vOjzKHdSTvUnc-y1cPF8zMEgyqfmw/view" TargetMode="External"/><Relationship Id="rId99" Type="http://schemas.openxmlformats.org/officeDocument/2006/relationships/hyperlink" Target="https://drive.google.com/file/d/1WVgF4Sh4QaEsWKxKWdJTqPSZVpLibGKn/view" TargetMode="External"/><Relationship Id="rId98" Type="http://schemas.openxmlformats.org/officeDocument/2006/relationships/hyperlink" Target="https://drive.google.com/file/d/1WmT0MCc-zkOLqiwywX2e_kdN8zfYYlIA/view" TargetMode="External"/><Relationship Id="rId91" Type="http://schemas.openxmlformats.org/officeDocument/2006/relationships/hyperlink" Target="https://drive.google.com/file/d/1oujlYveUB_M_gJlMAItmb0wWkm_mB4Rl/view" TargetMode="External"/><Relationship Id="rId90" Type="http://schemas.openxmlformats.org/officeDocument/2006/relationships/hyperlink" Target="https://drive.google.com/file/d/1nc9LxZCnA-Du3H2PwXgahyADqm-zO2gJ/view" TargetMode="External"/><Relationship Id="rId93" Type="http://schemas.openxmlformats.org/officeDocument/2006/relationships/hyperlink" Target="https://drive.google.com/file/d/1d49afOepl0AZZJJ_NPw_W6QudxK2f45p/view" TargetMode="External"/><Relationship Id="rId92" Type="http://schemas.openxmlformats.org/officeDocument/2006/relationships/hyperlink" Target="https://drive.google.com/file/d/1FU4hW-ge7A-kfjlqt_Io359SSdDJgVYG/view" TargetMode="External"/><Relationship Id="rId118" Type="http://schemas.openxmlformats.org/officeDocument/2006/relationships/hyperlink" Target="https://drive.google.com/file/d/1RrKqme2M2jk4HvcEvEpB9K5X4auQOct7/view" TargetMode="External"/><Relationship Id="rId239" Type="http://schemas.openxmlformats.org/officeDocument/2006/relationships/hyperlink" Target="https://drive.google.com/file/d/1T9qecDXttfl4dBoHQpkGZy8cGLq-JCIb/view?usp=drivesdk" TargetMode="External"/><Relationship Id="rId117" Type="http://schemas.openxmlformats.org/officeDocument/2006/relationships/hyperlink" Target="https://drive.google.com/file/d/1-ChFF55ywAuA4Wu6vEOmVYTRTPE442a5/view" TargetMode="External"/><Relationship Id="rId238" Type="http://schemas.openxmlformats.org/officeDocument/2006/relationships/hyperlink" Target="https://drive.google.com/file/d/1pKGqzaDXNrmVONSfo3N-Q16IJ2VZiHhU/view?usp=drivesdk" TargetMode="External"/><Relationship Id="rId116" Type="http://schemas.openxmlformats.org/officeDocument/2006/relationships/hyperlink" Target="https://drive.google.com/file/d/1pr-lOBDmHNfO6kBGmO3iTAtiNAzwSK-z/view" TargetMode="External"/><Relationship Id="rId237" Type="http://schemas.openxmlformats.org/officeDocument/2006/relationships/hyperlink" Target="https://drive.google.com/file/d/1IRteJaAvBX6fJx0LvV8XH5K23mgythrx/view?usp=drivesdk" TargetMode="External"/><Relationship Id="rId115" Type="http://schemas.openxmlformats.org/officeDocument/2006/relationships/hyperlink" Target="https://drive.google.com/file/d/1lThE58nFFntlujfx1x7ujec0PyzGuwVO/view" TargetMode="External"/><Relationship Id="rId236" Type="http://schemas.openxmlformats.org/officeDocument/2006/relationships/hyperlink" Target="https://drive.google.com/file/d/1DKbZmzdYNYXdbfscP0KWc7WPIT9Og2tc/view?usp=drivesdk" TargetMode="External"/><Relationship Id="rId119" Type="http://schemas.openxmlformats.org/officeDocument/2006/relationships/hyperlink" Target="https://drive.google.com/file/d/1UlmyzHfUXMrRbRpFXegnB10Qrj4slGFA/view" TargetMode="External"/><Relationship Id="rId110" Type="http://schemas.openxmlformats.org/officeDocument/2006/relationships/hyperlink" Target="https://drive.google.com/file/d/1DJXxgFax2R-9s_ByFhhXin_h285vgw9J/view" TargetMode="External"/><Relationship Id="rId231" Type="http://schemas.openxmlformats.org/officeDocument/2006/relationships/hyperlink" Target="https://drive.google.com/file/d/1lo1ABjdYOXbtpIbwRvDU3LArCB5Zfw0f/view?usp=drivesdk" TargetMode="External"/><Relationship Id="rId230" Type="http://schemas.openxmlformats.org/officeDocument/2006/relationships/hyperlink" Target="https://drive.google.com/file/d/1l3lbtfODbuQNcLuQx50OlQYq75gunNsl/view?usp=drivesdk" TargetMode="External"/><Relationship Id="rId114" Type="http://schemas.openxmlformats.org/officeDocument/2006/relationships/hyperlink" Target="https://drive.google.com/file/d/1CQGO-CkB9e4PxoPx8HsqpUnHL9q7skij/view" TargetMode="External"/><Relationship Id="rId235" Type="http://schemas.openxmlformats.org/officeDocument/2006/relationships/hyperlink" Target="https://drive.google.com/file/d/1MR1lTewI5ijKiKPjTGycZzCNdk1IWOv3/view?usp=drivesdk" TargetMode="External"/><Relationship Id="rId113" Type="http://schemas.openxmlformats.org/officeDocument/2006/relationships/hyperlink" Target="https://drive.google.com/file/d/1cgZBoJ4eMj1pFKCmxRWDdBvRHTNUfYuL/view" TargetMode="External"/><Relationship Id="rId234" Type="http://schemas.openxmlformats.org/officeDocument/2006/relationships/hyperlink" Target="https://drive.google.com/file/d/1bM7P4noXoT9RZzdNF-Y2v00M5CbOrt0d/view?usp=drivesdk" TargetMode="External"/><Relationship Id="rId112" Type="http://schemas.openxmlformats.org/officeDocument/2006/relationships/hyperlink" Target="https://drive.google.com/file/d/1ABBkXvbvqAuBqF6-2NuZwEWoblgkeJAp/view" TargetMode="External"/><Relationship Id="rId233" Type="http://schemas.openxmlformats.org/officeDocument/2006/relationships/hyperlink" Target="https://drive.google.com/file/d/1MFi9ysySWKQHp5ElHm6Z0buJ7CColKlR/view?usp=drivesdk" TargetMode="External"/><Relationship Id="rId111" Type="http://schemas.openxmlformats.org/officeDocument/2006/relationships/hyperlink" Target="https://drive.google.com/file/d/1YLsC9OSJEMZu46OWccyD7I0DAsLwqQVA/view" TargetMode="External"/><Relationship Id="rId232" Type="http://schemas.openxmlformats.org/officeDocument/2006/relationships/hyperlink" Target="https://drive.google.com/file/d/1dn3oqzSmz0IT2GKRqzyx79FM5_EQ-Z62/view?usp=drivesdk" TargetMode="External"/><Relationship Id="rId206" Type="http://schemas.openxmlformats.org/officeDocument/2006/relationships/hyperlink" Target="https://drive.google.com/file/d/1KyjZHr87xmlhk570p1Oxt3BTISvF_rMd/view?usp=drivesdk" TargetMode="External"/><Relationship Id="rId205" Type="http://schemas.openxmlformats.org/officeDocument/2006/relationships/hyperlink" Target="https://drive.google.com/file/d/1Yxh7-k1OoQGBQduraR92h77YvTLWvpOm/view?usp=drivesdk" TargetMode="External"/><Relationship Id="rId204" Type="http://schemas.openxmlformats.org/officeDocument/2006/relationships/hyperlink" Target="https://drive.google.com/file/d/15bIgIsos31wktS_a5Xmjin1QkYCi4Isu/view?usp=drivesdk" TargetMode="External"/><Relationship Id="rId203" Type="http://schemas.openxmlformats.org/officeDocument/2006/relationships/hyperlink" Target="https://drive.google.com/file/d/1jJxE20Ja_oCsnnHCwuf1om96wN1yQQGv/view?usp=drivesdk" TargetMode="External"/><Relationship Id="rId209" Type="http://schemas.openxmlformats.org/officeDocument/2006/relationships/hyperlink" Target="https://drive.google.com/file/d/1XXNqup0qttPqTry2jsdWqHDFxdJNK-gP/view?usp=drivesdk" TargetMode="External"/><Relationship Id="rId208" Type="http://schemas.openxmlformats.org/officeDocument/2006/relationships/hyperlink" Target="https://drive.google.com/file/d/1ZU919z7cuGY8I6TPMLHkaYyYfszphQLx/view?usp=drivesdk" TargetMode="External"/><Relationship Id="rId207" Type="http://schemas.openxmlformats.org/officeDocument/2006/relationships/hyperlink" Target="https://drive.google.com/file/d/1vHjZ7kfkPJkYD-0WqBzfL_ywT8QOIm5P/view?usp=drivesdk" TargetMode="External"/><Relationship Id="rId202" Type="http://schemas.openxmlformats.org/officeDocument/2006/relationships/hyperlink" Target="https://drive.google.com/file/d/1yJU_cf43HQH6uxAEOXTGOgwrs3ZcSJRV/view?usp=drivesdk" TargetMode="External"/><Relationship Id="rId201" Type="http://schemas.openxmlformats.org/officeDocument/2006/relationships/hyperlink" Target="https://drive.google.com/file/d/1y4EFIrd6kDDwXGFNA-uC7SsIG1eE5LWJ/view?usp=drivesdk" TargetMode="External"/><Relationship Id="rId200" Type="http://schemas.openxmlformats.org/officeDocument/2006/relationships/hyperlink" Target="https://drive.google.com/file/d/1NRtxFQ08UXLBJ7oRNacIyvVFrJZbkeiY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10.63"/>
    <col customWidth="1" min="5" max="5" width="33.75"/>
    <col customWidth="1" min="6" max="6" width="23.88"/>
    <col customWidth="1" min="7" max="7" width="26.75"/>
    <col customWidth="1" min="8" max="8" width="25.38"/>
    <col customWidth="1" min="9" max="9" width="25.25"/>
    <col customWidth="1" min="10" max="10" width="24.88"/>
    <col customWidth="1" min="11" max="11" width="24.25"/>
    <col customWidth="1" min="12" max="12" width="23.88"/>
    <col customWidth="1" min="13" max="13" width="26.13"/>
    <col customWidth="1" min="14" max="14" width="22.38"/>
    <col customWidth="1" min="15" max="15" width="30.38"/>
    <col customWidth="1" min="16" max="16" width="26.75"/>
    <col customWidth="1" min="18" max="18" width="16.88"/>
    <col customWidth="1" min="19" max="19" width="19.75"/>
    <col customWidth="1" min="20" max="20" width="32.38"/>
    <col customWidth="1" min="21" max="21" width="24.88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/>
      <c r="Q1" s="5"/>
      <c r="R1" s="6"/>
      <c r="S1" s="5"/>
      <c r="T1" s="5"/>
      <c r="U1" s="5"/>
      <c r="V1" s="5"/>
      <c r="W1" s="5"/>
      <c r="X1" s="5"/>
      <c r="Y1" s="5"/>
      <c r="Z1" s="7"/>
    </row>
    <row r="2">
      <c r="A2" s="1"/>
      <c r="B2" s="8" t="s">
        <v>1</v>
      </c>
      <c r="C2" s="9" t="s">
        <v>2</v>
      </c>
      <c r="D2" s="10" t="s">
        <v>3</v>
      </c>
      <c r="E2" s="10" t="s">
        <v>4</v>
      </c>
      <c r="F2" s="11" t="s">
        <v>5</v>
      </c>
      <c r="G2" s="3"/>
      <c r="H2" s="3"/>
      <c r="I2" s="3"/>
      <c r="J2" s="3"/>
      <c r="K2" s="3"/>
      <c r="L2" s="3"/>
      <c r="M2" s="3"/>
      <c r="N2" s="4"/>
      <c r="O2" s="12" t="s">
        <v>6</v>
      </c>
      <c r="P2" s="13" t="s">
        <v>7</v>
      </c>
      <c r="Q2" s="10" t="s">
        <v>8</v>
      </c>
      <c r="R2" s="14"/>
      <c r="S2" s="15" t="s">
        <v>9</v>
      </c>
      <c r="T2" s="16" t="s">
        <v>10</v>
      </c>
      <c r="U2" s="17" t="s">
        <v>11</v>
      </c>
      <c r="V2" s="9" t="s">
        <v>12</v>
      </c>
      <c r="W2" s="9" t="s">
        <v>13</v>
      </c>
      <c r="X2" s="9" t="s">
        <v>14</v>
      </c>
      <c r="Y2" s="9" t="s">
        <v>15</v>
      </c>
      <c r="Z2" s="18"/>
    </row>
    <row r="3">
      <c r="A3" s="1"/>
      <c r="B3" s="19"/>
      <c r="C3" s="19"/>
      <c r="D3" s="19"/>
      <c r="E3" s="19"/>
      <c r="F3" s="20" t="s">
        <v>16</v>
      </c>
      <c r="G3" s="14" t="s">
        <v>17</v>
      </c>
      <c r="H3" s="14" t="s">
        <v>18</v>
      </c>
      <c r="I3" s="14" t="s">
        <v>19</v>
      </c>
      <c r="J3" s="14" t="s">
        <v>20</v>
      </c>
      <c r="K3" s="14" t="s">
        <v>21</v>
      </c>
      <c r="L3" s="14" t="s">
        <v>22</v>
      </c>
      <c r="M3" s="14" t="s">
        <v>23</v>
      </c>
      <c r="N3" s="21" t="s">
        <v>24</v>
      </c>
      <c r="O3" s="19"/>
      <c r="P3" s="19"/>
      <c r="Q3" s="19"/>
      <c r="R3" s="21" t="s">
        <v>25</v>
      </c>
      <c r="S3" s="21" t="s">
        <v>26</v>
      </c>
      <c r="T3" s="19"/>
      <c r="U3" s="19"/>
      <c r="V3" s="19"/>
      <c r="W3" s="19"/>
      <c r="X3" s="22"/>
      <c r="Y3" s="19"/>
      <c r="Z3" s="18"/>
    </row>
    <row r="4">
      <c r="A4" s="23" t="s">
        <v>27</v>
      </c>
      <c r="B4" s="24">
        <v>6503690.0</v>
      </c>
      <c r="C4" s="25" t="s">
        <v>28</v>
      </c>
      <c r="D4" s="26" t="s">
        <v>29</v>
      </c>
      <c r="E4" s="26" t="s">
        <v>30</v>
      </c>
      <c r="F4" s="27">
        <f>IFERROR(__xludf.DUMMYFUNCTION("IMPORTRANGE(""https://docs.google.com/spreadsheets/d/1PfPfEwC5dEUihreebI-m2li0jy93An_sgb4FoUuUS0A/edit"",ROW(A4)+3686 &amp; ""!Z2"")
"),0.0)</f>
        <v>0</v>
      </c>
      <c r="G4" s="28">
        <f>IFERROR(__xludf.DUMMYFUNCTION("IMPORTRANGE(""https://docs.google.com/spreadsheets/d/1Nbblj-B70vD9i5jtbyRScyGBXpK_G1dtuDsnJIkMMCA/edit"",ROW(A4)+3686 &amp; ""!Z2"")"),6.0)</f>
        <v>6</v>
      </c>
      <c r="H4" s="29">
        <f>IFERROR(__xludf.DUMMYFUNCTION("IMPORTRANGE(""https://docs.google.com/spreadsheets/d/1jC_PCDgJE2oAmRjwPebkLo_nuqmEUnzBZXpPeH3akQo/edit"",ROW(A4)+3686 &amp; ""!Z2"")"),0.0)</f>
        <v>0</v>
      </c>
      <c r="I4" s="29">
        <f>IFERROR(__xludf.DUMMYFUNCTION("IMPORTRANGE(""https://docs.google.com/spreadsheets/d/1-sYqmNw9LxKJwVmpiSlNiOxHtcQzJNN_Zm5ZWpdvWxc/edit"",ROW(A4)+3686 &amp; ""!Z2"")"),0.0)</f>
        <v>0</v>
      </c>
      <c r="J4" s="29">
        <f>IFERROR(__xludf.DUMMYFUNCTION("IMPORTRANGE(""https://docs.google.com/spreadsheets/d/1ByAR-SZLYFmMZasGxoybWwey9ybLPunmZo2lxna7gz8/edit"",ROW(A4)+3686 &amp; ""!Z2"")"),4.0)</f>
        <v>4</v>
      </c>
      <c r="K4" s="29">
        <f>IFERROR(__xludf.DUMMYFUNCTION("IMPORTRANGE(""https://docs.google.com/spreadsheets/d/1u3kjep_Ay-rJA2uAkkFXuGH0h4mooEyUGnckMoeCfOs/edit"",ROW(A4)+3686 &amp; ""!Z2"")"),4.0)</f>
        <v>4</v>
      </c>
      <c r="L4" s="29">
        <f>IFERROR(__xludf.DUMMYFUNCTION("IMPORTRANGE(""https://docs.google.com/spreadsheets/d/1HTReQ1YdOqch3sGPwq1QL9QnAoK2TCkEH0Emcc83oYs/edit"",ROW(A4)+3686 &amp; ""!Z2"")"),8.0)</f>
        <v>8</v>
      </c>
      <c r="M4" s="29">
        <f>IFERROR(__xludf.DUMMYFUNCTION("IMPORTRANGE(""https://docs.google.com/spreadsheets/d/1hq2y4DlBv4QXLvBwR-9pvgxKcEYt7dtr1-jKlqdvqhQ/edit"",ROW(A4)+3686 &amp; ""!Z2"")"),8.0)</f>
        <v>8</v>
      </c>
      <c r="N4" s="30"/>
      <c r="O4" s="31">
        <f t="shared" ref="O4:O67" si="1">SUM(F4:N4)</f>
        <v>30</v>
      </c>
      <c r="P4" s="32"/>
      <c r="Q4" s="32"/>
      <c r="R4" s="33"/>
      <c r="S4" s="33"/>
      <c r="T4" s="34"/>
      <c r="U4" s="35">
        <f t="shared" ref="U4:U67" si="2">sum(V4:Y4)</f>
        <v>204</v>
      </c>
      <c r="V4" s="33"/>
      <c r="W4" s="36">
        <v>114.0</v>
      </c>
      <c r="X4" s="37">
        <v>90.0</v>
      </c>
      <c r="Y4" s="38"/>
      <c r="Z4" s="39"/>
    </row>
    <row r="5">
      <c r="A5" s="40"/>
      <c r="B5" s="41">
        <v>6503691.0</v>
      </c>
      <c r="C5" s="42" t="s">
        <v>31</v>
      </c>
      <c r="D5" s="43" t="s">
        <v>32</v>
      </c>
      <c r="E5" s="43" t="s">
        <v>33</v>
      </c>
      <c r="F5" s="27">
        <f>IFERROR(__xludf.DUMMYFUNCTION("IMPORTRANGE(""https://docs.google.com/spreadsheets/d/1PfPfEwC5dEUihreebI-m2li0jy93An_sgb4FoUuUS0A/edit"",ROW(A5)+3686 &amp; ""!Z2"")
"),0.0)</f>
        <v>0</v>
      </c>
      <c r="G5" s="28">
        <f>IFERROR(__xludf.DUMMYFUNCTION("IMPORTRANGE(""https://docs.google.com/spreadsheets/d/1Nbblj-B70vD9i5jtbyRScyGBXpK_G1dtuDsnJIkMMCA/edit"",ROW(A5)+3686 &amp; ""!Z2"")"),6.0)</f>
        <v>6</v>
      </c>
      <c r="H5" s="29">
        <f>IFERROR(__xludf.DUMMYFUNCTION("IMPORTRANGE(""https://docs.google.com/spreadsheets/d/1jC_PCDgJE2oAmRjwPebkLo_nuqmEUnzBZXpPeH3akQo/edit"",ROW(A5)+3686 &amp; ""!Z2"")"),0.0)</f>
        <v>0</v>
      </c>
      <c r="I5" s="29">
        <f>IFERROR(__xludf.DUMMYFUNCTION("IMPORTRANGE(""https://docs.google.com/spreadsheets/d/1-sYqmNw9LxKJwVmpiSlNiOxHtcQzJNN_Zm5ZWpdvWxc/edit"",ROW(A5)+3686 &amp; ""!Z2"")"),0.0)</f>
        <v>0</v>
      </c>
      <c r="J5" s="29">
        <f>IFERROR(__xludf.DUMMYFUNCTION("IMPORTRANGE(""https://docs.google.com/spreadsheets/d/1ByAR-SZLYFmMZasGxoybWwey9ybLPunmZo2lxna7gz8/edit"",ROW(A5)+3686 &amp; ""!Z2"")"),0.0)</f>
        <v>0</v>
      </c>
      <c r="K5" s="29">
        <f>IFERROR(__xludf.DUMMYFUNCTION("IMPORTRANGE(""https://docs.google.com/spreadsheets/d/1u3kjep_Ay-rJA2uAkkFXuGH0h4mooEyUGnckMoeCfOs/edit"",ROW(A5)+3686 &amp; ""!Z2"")"),4.0)</f>
        <v>4</v>
      </c>
      <c r="L5" s="29">
        <f>IFERROR(__xludf.DUMMYFUNCTION("IMPORTRANGE(""https://docs.google.com/spreadsheets/d/1HTReQ1YdOqch3sGPwq1QL9QnAoK2TCkEH0Emcc83oYs/edit"",ROW(A5)+3686 &amp; ""!Z2"")"),0.0)</f>
        <v>0</v>
      </c>
      <c r="M5" s="29">
        <f>IFERROR(__xludf.DUMMYFUNCTION("IMPORTRANGE(""https://docs.google.com/spreadsheets/d/1hq2y4DlBv4QXLvBwR-9pvgxKcEYt7dtr1-jKlqdvqhQ/edit"",ROW(A5)+3686 &amp; ""!Z2"")"),0.0)</f>
        <v>0</v>
      </c>
      <c r="N5" s="30">
        <v>20.0</v>
      </c>
      <c r="O5" s="31">
        <f t="shared" si="1"/>
        <v>30</v>
      </c>
      <c r="P5" s="44" t="s">
        <v>34</v>
      </c>
      <c r="Q5" s="5"/>
      <c r="R5" s="6"/>
      <c r="S5" s="45">
        <v>20.0</v>
      </c>
      <c r="T5" s="46"/>
      <c r="U5" s="47">
        <f t="shared" si="2"/>
        <v>208</v>
      </c>
      <c r="V5" s="6"/>
      <c r="W5" s="48">
        <v>116.0</v>
      </c>
      <c r="X5" s="49">
        <v>92.0</v>
      </c>
      <c r="Y5" s="50"/>
      <c r="Z5" s="39"/>
    </row>
    <row r="6">
      <c r="A6" s="40"/>
      <c r="B6" s="41">
        <v>6503692.0</v>
      </c>
      <c r="C6" s="51" t="s">
        <v>35</v>
      </c>
      <c r="D6" s="43" t="s">
        <v>29</v>
      </c>
      <c r="E6" s="52" t="s">
        <v>36</v>
      </c>
      <c r="F6" s="27">
        <f>IFERROR(__xludf.DUMMYFUNCTION("IMPORTRANGE(""https://docs.google.com/spreadsheets/d/1PfPfEwC5dEUihreebI-m2li0jy93An_sgb4FoUuUS0A/edit"",ROW(A6)+3686 &amp; ""!Z2"")
"),0.0)</f>
        <v>0</v>
      </c>
      <c r="G6" s="28">
        <f>IFERROR(__xludf.DUMMYFUNCTION("IMPORTRANGE(""https://docs.google.com/spreadsheets/d/1Nbblj-B70vD9i5jtbyRScyGBXpK_G1dtuDsnJIkMMCA/edit"",ROW(A6)+3686 &amp; ""!Z2"")"),0.0)</f>
        <v>0</v>
      </c>
      <c r="H6" s="29">
        <f>IFERROR(__xludf.DUMMYFUNCTION("IMPORTRANGE(""https://docs.google.com/spreadsheets/d/1jC_PCDgJE2oAmRjwPebkLo_nuqmEUnzBZXpPeH3akQo/edit"",ROW(A6)+3686 &amp; ""!Z2"")"),15.0)</f>
        <v>15</v>
      </c>
      <c r="I6" s="29">
        <f>IFERROR(__xludf.DUMMYFUNCTION("IMPORTRANGE(""https://docs.google.com/spreadsheets/d/1-sYqmNw9LxKJwVmpiSlNiOxHtcQzJNN_Zm5ZWpdvWxc/edit"",ROW(A6)+3686 &amp; ""!Z2"")"),0.0)</f>
        <v>0</v>
      </c>
      <c r="J6" s="29">
        <f>IFERROR(__xludf.DUMMYFUNCTION("IMPORTRANGE(""https://docs.google.com/spreadsheets/d/1ByAR-SZLYFmMZasGxoybWwey9ybLPunmZo2lxna7gz8/edit"",ROW(A6)+3686 &amp; ""!Z2"")"),0.0)</f>
        <v>0</v>
      </c>
      <c r="K6" s="29">
        <f>IFERROR(__xludf.DUMMYFUNCTION("IMPORTRANGE(""https://docs.google.com/spreadsheets/d/1u3kjep_Ay-rJA2uAkkFXuGH0h4mooEyUGnckMoeCfOs/edit"",ROW(A6)+3686 &amp; ""!Z2"")"),0.0)</f>
        <v>0</v>
      </c>
      <c r="L6" s="29">
        <f>IFERROR(__xludf.DUMMYFUNCTION("IMPORTRANGE(""https://docs.google.com/spreadsheets/d/1HTReQ1YdOqch3sGPwq1QL9QnAoK2TCkEH0Emcc83oYs/edit"",ROW(A6)+3686 &amp; ""!Z2"")"),0.0)</f>
        <v>0</v>
      </c>
      <c r="M6" s="29">
        <f>IFERROR(__xludf.DUMMYFUNCTION("IMPORTRANGE(""https://docs.google.com/spreadsheets/d/1hq2y4DlBv4QXLvBwR-9pvgxKcEYt7dtr1-jKlqdvqhQ/edit"",ROW(A6)+3686 &amp; ""!Z2"")"),0.0)</f>
        <v>0</v>
      </c>
      <c r="N6" s="30">
        <v>20.0</v>
      </c>
      <c r="O6" s="31">
        <f t="shared" si="1"/>
        <v>35</v>
      </c>
      <c r="P6" s="53" t="s">
        <v>37</v>
      </c>
      <c r="Q6" s="5"/>
      <c r="R6" s="6"/>
      <c r="S6" s="54"/>
      <c r="T6" s="46"/>
      <c r="U6" s="47">
        <f t="shared" si="2"/>
        <v>180</v>
      </c>
      <c r="V6" s="5"/>
      <c r="W6" s="48">
        <v>102.0</v>
      </c>
      <c r="X6" s="49">
        <v>78.0</v>
      </c>
      <c r="Y6" s="55"/>
      <c r="Z6" s="7"/>
    </row>
    <row r="7">
      <c r="A7" s="40"/>
      <c r="B7" s="41">
        <v>6503693.0</v>
      </c>
      <c r="C7" s="51" t="s">
        <v>38</v>
      </c>
      <c r="D7" s="43" t="s">
        <v>29</v>
      </c>
      <c r="E7" s="52" t="s">
        <v>39</v>
      </c>
      <c r="F7" s="27">
        <f>IFERROR(__xludf.DUMMYFUNCTION("IMPORTRANGE(""https://docs.google.com/spreadsheets/d/1PfPfEwC5dEUihreebI-m2li0jy93An_sgb4FoUuUS0A/edit"",ROW(A7)+3686 &amp; ""!Z2"")
"),0.0)</f>
        <v>0</v>
      </c>
      <c r="G7" s="28">
        <f>IFERROR(__xludf.DUMMYFUNCTION("IMPORTRANGE(""https://docs.google.com/spreadsheets/d/1Nbblj-B70vD9i5jtbyRScyGBXpK_G1dtuDsnJIkMMCA/edit"",ROW(A7)+3686 &amp; ""!Z2"")"),6.0)</f>
        <v>6</v>
      </c>
      <c r="H7" s="29">
        <f>IFERROR(__xludf.DUMMYFUNCTION("IMPORTRANGE(""https://docs.google.com/spreadsheets/d/1jC_PCDgJE2oAmRjwPebkLo_nuqmEUnzBZXpPeH3akQo/edit"",ROW(A7)+3686 &amp; ""!Z2"")"),0.0)</f>
        <v>0</v>
      </c>
      <c r="I7" s="29">
        <f>IFERROR(__xludf.DUMMYFUNCTION("IMPORTRANGE(""https://docs.google.com/spreadsheets/d/1-sYqmNw9LxKJwVmpiSlNiOxHtcQzJNN_Zm5ZWpdvWxc/edit"",ROW(A7)+3686 &amp; ""!Z2"")"),0.0)</f>
        <v>0</v>
      </c>
      <c r="J7" s="29">
        <f>IFERROR(__xludf.DUMMYFUNCTION("IMPORTRANGE(""https://docs.google.com/spreadsheets/d/1ByAR-SZLYFmMZasGxoybWwey9ybLPunmZo2lxna7gz8/edit"",ROW(A7)+3686 &amp; ""!Z2"")"),4.0)</f>
        <v>4</v>
      </c>
      <c r="K7" s="29">
        <f>IFERROR(__xludf.DUMMYFUNCTION("IMPORTRANGE(""https://docs.google.com/spreadsheets/d/1u3kjep_Ay-rJA2uAkkFXuGH0h4mooEyUGnckMoeCfOs/edit"",ROW(A7)+3686 &amp; ""!Z2"")"),4.0)</f>
        <v>4</v>
      </c>
      <c r="L7" s="29">
        <f>IFERROR(__xludf.DUMMYFUNCTION("IMPORTRANGE(""https://docs.google.com/spreadsheets/d/1HTReQ1YdOqch3sGPwq1QL9QnAoK2TCkEH0Emcc83oYs/edit"",ROW(A7)+3686 &amp; ""!Z2"")"),8.0)</f>
        <v>8</v>
      </c>
      <c r="M7" s="29">
        <f>IFERROR(__xludf.DUMMYFUNCTION("IMPORTRANGE(""https://docs.google.com/spreadsheets/d/1hq2y4DlBv4QXLvBwR-9pvgxKcEYt7dtr1-jKlqdvqhQ/edit"",ROW(A7)+3686 &amp; ""!Z2"")"),8.0)</f>
        <v>8</v>
      </c>
      <c r="N7" s="30">
        <v>20.0</v>
      </c>
      <c r="O7" s="31">
        <f t="shared" si="1"/>
        <v>50</v>
      </c>
      <c r="P7" s="53" t="s">
        <v>37</v>
      </c>
      <c r="Q7" s="5"/>
      <c r="R7" s="6"/>
      <c r="S7" s="56"/>
      <c r="T7" s="46"/>
      <c r="U7" s="47">
        <f t="shared" si="2"/>
        <v>182</v>
      </c>
      <c r="V7" s="5"/>
      <c r="W7" s="48">
        <v>101.0</v>
      </c>
      <c r="X7" s="49">
        <v>81.0</v>
      </c>
      <c r="Y7" s="55"/>
      <c r="Z7" s="7"/>
    </row>
    <row r="8">
      <c r="A8" s="40"/>
      <c r="B8" s="41">
        <v>6503694.0</v>
      </c>
      <c r="C8" s="51" t="s">
        <v>40</v>
      </c>
      <c r="D8" s="43" t="s">
        <v>29</v>
      </c>
      <c r="E8" s="52" t="s">
        <v>41</v>
      </c>
      <c r="F8" s="27">
        <f>IFERROR(__xludf.DUMMYFUNCTION("IMPORTRANGE(""https://docs.google.com/spreadsheets/d/1PfPfEwC5dEUihreebI-m2li0jy93An_sgb4FoUuUS0A/edit"",ROW(A8)+3686 &amp; ""!Z2"")
"),0.0)</f>
        <v>0</v>
      </c>
      <c r="G8" s="28">
        <f>IFERROR(__xludf.DUMMYFUNCTION("IMPORTRANGE(""https://docs.google.com/spreadsheets/d/1Nbblj-B70vD9i5jtbyRScyGBXpK_G1dtuDsnJIkMMCA/edit"",ROW(A8)+3686 &amp; ""!Z2"")"),6.0)</f>
        <v>6</v>
      </c>
      <c r="H8" s="29">
        <f>IFERROR(__xludf.DUMMYFUNCTION("IMPORTRANGE(""https://docs.google.com/spreadsheets/d/1jC_PCDgJE2oAmRjwPebkLo_nuqmEUnzBZXpPeH3akQo/edit"",ROW(A8)+3686 &amp; ""!Z2"")"),0.0)</f>
        <v>0</v>
      </c>
      <c r="I8" s="29">
        <f>IFERROR(__xludf.DUMMYFUNCTION("IMPORTRANGE(""https://docs.google.com/spreadsheets/d/1-sYqmNw9LxKJwVmpiSlNiOxHtcQzJNN_Zm5ZWpdvWxc/edit"",ROW(A8)+3686 &amp; ""!Z2"")"),0.0)</f>
        <v>0</v>
      </c>
      <c r="J8" s="29">
        <f>IFERROR(__xludf.DUMMYFUNCTION("IMPORTRANGE(""https://docs.google.com/spreadsheets/d/1ByAR-SZLYFmMZasGxoybWwey9ybLPunmZo2lxna7gz8/edit"",ROW(A8)+3686 &amp; ""!Z2"")"),0.0)</f>
        <v>0</v>
      </c>
      <c r="K8" s="29">
        <f>IFERROR(__xludf.DUMMYFUNCTION("IMPORTRANGE(""https://docs.google.com/spreadsheets/d/1u3kjep_Ay-rJA2uAkkFXuGH0h4mooEyUGnckMoeCfOs/edit"",ROW(A8)+3686 &amp; ""!Z2"")"),8.0)</f>
        <v>8</v>
      </c>
      <c r="L8" s="29">
        <f>IFERROR(__xludf.DUMMYFUNCTION("IMPORTRANGE(""https://docs.google.com/spreadsheets/d/1HTReQ1YdOqch3sGPwq1QL9QnAoK2TCkEH0Emcc83oYs/edit"",ROW(A8)+3686 &amp; ""!Z2"")"),0.0)</f>
        <v>0</v>
      </c>
      <c r="M8" s="29">
        <f>IFERROR(__xludf.DUMMYFUNCTION("IMPORTRANGE(""https://docs.google.com/spreadsheets/d/1hq2y4DlBv4QXLvBwR-9pvgxKcEYt7dtr1-jKlqdvqhQ/edit"",ROW(A8)+3686 &amp; ""!Z2"")"),0.0)</f>
        <v>0</v>
      </c>
      <c r="N8" s="30">
        <v>20.0</v>
      </c>
      <c r="O8" s="31">
        <f t="shared" si="1"/>
        <v>34</v>
      </c>
      <c r="P8" s="44" t="s">
        <v>42</v>
      </c>
      <c r="Q8" s="5"/>
      <c r="R8" s="6"/>
      <c r="S8" s="57">
        <v>20.0</v>
      </c>
      <c r="T8" s="46"/>
      <c r="U8" s="47">
        <f t="shared" si="2"/>
        <v>348</v>
      </c>
      <c r="V8" s="5"/>
      <c r="W8" s="48">
        <v>186.0</v>
      </c>
      <c r="X8" s="49">
        <v>162.0</v>
      </c>
      <c r="Y8" s="55"/>
      <c r="Z8" s="7"/>
    </row>
    <row r="9">
      <c r="A9" s="40"/>
      <c r="B9" s="41">
        <v>6503695.0</v>
      </c>
      <c r="C9" s="51" t="s">
        <v>43</v>
      </c>
      <c r="D9" s="43" t="s">
        <v>29</v>
      </c>
      <c r="E9" s="52" t="s">
        <v>44</v>
      </c>
      <c r="F9" s="27">
        <f>IFERROR(__xludf.DUMMYFUNCTION("IMPORTRANGE(""https://docs.google.com/spreadsheets/d/1PfPfEwC5dEUihreebI-m2li0jy93An_sgb4FoUuUS0A/edit"",ROW(A9)+3686 &amp; ""!Z2"")
"),0.0)</f>
        <v>0</v>
      </c>
      <c r="G9" s="28">
        <f>IFERROR(__xludf.DUMMYFUNCTION("IMPORTRANGE(""https://docs.google.com/spreadsheets/d/1Nbblj-B70vD9i5jtbyRScyGBXpK_G1dtuDsnJIkMMCA/edit"",ROW(A9)+3686 &amp; ""!Z2"")"),6.0)</f>
        <v>6</v>
      </c>
      <c r="H9" s="29">
        <f>IFERROR(__xludf.DUMMYFUNCTION("IMPORTRANGE(""https://docs.google.com/spreadsheets/d/1jC_PCDgJE2oAmRjwPebkLo_nuqmEUnzBZXpPeH3akQo/edit"",ROW(A9)+3686 &amp; ""!Z2"")"),0.0)</f>
        <v>0</v>
      </c>
      <c r="I9" s="29">
        <f>IFERROR(__xludf.DUMMYFUNCTION("IMPORTRANGE(""https://docs.google.com/spreadsheets/d/1-sYqmNw9LxKJwVmpiSlNiOxHtcQzJNN_Zm5ZWpdvWxc/edit"",ROW(A9)+3686 &amp; ""!Z2"")"),0.0)</f>
        <v>0</v>
      </c>
      <c r="J9" s="29">
        <f>IFERROR(__xludf.DUMMYFUNCTION("IMPORTRANGE(""https://docs.google.com/spreadsheets/d/1ByAR-SZLYFmMZasGxoybWwey9ybLPunmZo2lxna7gz8/edit"",ROW(A9)+3686 &amp; ""!Z2"")"),32.0)</f>
        <v>32</v>
      </c>
      <c r="K9" s="29">
        <f>IFERROR(__xludf.DUMMYFUNCTION("IMPORTRANGE(""https://docs.google.com/spreadsheets/d/1u3kjep_Ay-rJA2uAkkFXuGH0h4mooEyUGnckMoeCfOs/edit"",ROW(A9)+3686 &amp; ""!Z2"")"),0.0)</f>
        <v>0</v>
      </c>
      <c r="L9" s="29">
        <f>IFERROR(__xludf.DUMMYFUNCTION("IMPORTRANGE(""https://docs.google.com/spreadsheets/d/1HTReQ1YdOqch3sGPwq1QL9QnAoK2TCkEH0Emcc83oYs/edit"",ROW(A9)+3686 &amp; ""!Z2"")"),0.0)</f>
        <v>0</v>
      </c>
      <c r="M9" s="29">
        <f>IFERROR(__xludf.DUMMYFUNCTION("IMPORTRANGE(""https://docs.google.com/spreadsheets/d/1hq2y4DlBv4QXLvBwR-9pvgxKcEYt7dtr1-jKlqdvqhQ/edit"",ROW(A9)+3686 &amp; ""!Z2"")"),0.0)</f>
        <v>0</v>
      </c>
      <c r="N9" s="30">
        <v>20.0</v>
      </c>
      <c r="O9" s="31">
        <f t="shared" si="1"/>
        <v>58</v>
      </c>
      <c r="P9" s="53" t="s">
        <v>37</v>
      </c>
      <c r="Q9" s="5"/>
      <c r="R9" s="6"/>
      <c r="S9" s="5"/>
      <c r="T9" s="46"/>
      <c r="U9" s="47">
        <f t="shared" si="2"/>
        <v>172</v>
      </c>
      <c r="V9" s="5"/>
      <c r="W9" s="48">
        <v>85.0</v>
      </c>
      <c r="X9" s="49">
        <v>87.0</v>
      </c>
      <c r="Y9" s="55"/>
      <c r="Z9" s="7"/>
    </row>
    <row r="10">
      <c r="A10" s="40"/>
      <c r="B10" s="41">
        <v>6503696.0</v>
      </c>
      <c r="C10" s="51" t="s">
        <v>45</v>
      </c>
      <c r="D10" s="43" t="s">
        <v>29</v>
      </c>
      <c r="E10" s="52" t="s">
        <v>46</v>
      </c>
      <c r="F10" s="27">
        <f>IFERROR(__xludf.DUMMYFUNCTION("IMPORTRANGE(""https://docs.google.com/spreadsheets/d/1PfPfEwC5dEUihreebI-m2li0jy93An_sgb4FoUuUS0A/edit"",ROW(A10)+3686 &amp; ""!Z2"")
"),0.0)</f>
        <v>0</v>
      </c>
      <c r="G10" s="28">
        <f>IFERROR(__xludf.DUMMYFUNCTION("IMPORTRANGE(""https://docs.google.com/spreadsheets/d/1Nbblj-B70vD9i5jtbyRScyGBXpK_G1dtuDsnJIkMMCA/edit"",ROW(A10)+3686 &amp; ""!Z2"")"),6.0)</f>
        <v>6</v>
      </c>
      <c r="H10" s="29">
        <f>IFERROR(__xludf.DUMMYFUNCTION("IMPORTRANGE(""https://docs.google.com/spreadsheets/d/1jC_PCDgJE2oAmRjwPebkLo_nuqmEUnzBZXpPeH3akQo/edit"",ROW(A10)+3686 &amp; ""!Z2"")"),0.0)</f>
        <v>0</v>
      </c>
      <c r="I10" s="29">
        <f>IFERROR(__xludf.DUMMYFUNCTION("IMPORTRANGE(""https://docs.google.com/spreadsheets/d/1-sYqmNw9LxKJwVmpiSlNiOxHtcQzJNN_Zm5ZWpdvWxc/edit"",ROW(A10)+3686 &amp; ""!Z2"")"),0.0)</f>
        <v>0</v>
      </c>
      <c r="J10" s="29">
        <f>IFERROR(__xludf.DUMMYFUNCTION("IMPORTRANGE(""https://docs.google.com/spreadsheets/d/1ByAR-SZLYFmMZasGxoybWwey9ybLPunmZo2lxna7gz8/edit"",ROW(A10)+3686 &amp; ""!Z2"")"),0.0)</f>
        <v>0</v>
      </c>
      <c r="K10" s="29">
        <f>IFERROR(__xludf.DUMMYFUNCTION("IMPORTRANGE(""https://docs.google.com/spreadsheets/d/1u3kjep_Ay-rJA2uAkkFXuGH0h4mooEyUGnckMoeCfOs/edit"",ROW(A10)+3686 &amp; ""!Z2"")"),0.0)</f>
        <v>0</v>
      </c>
      <c r="L10" s="29">
        <f>IFERROR(__xludf.DUMMYFUNCTION("IMPORTRANGE(""https://docs.google.com/spreadsheets/d/1HTReQ1YdOqch3sGPwq1QL9QnAoK2TCkEH0Emcc83oYs/edit"",ROW(A10)+3686 &amp; ""!Z2"")"),0.0)</f>
        <v>0</v>
      </c>
      <c r="M10" s="29">
        <f>IFERROR(__xludf.DUMMYFUNCTION("IMPORTRANGE(""https://docs.google.com/spreadsheets/d/1hq2y4DlBv4QXLvBwR-9pvgxKcEYt7dtr1-jKlqdvqhQ/edit"",ROW(A10)+3686 &amp; ""!Z2"")"),0.0)</f>
        <v>0</v>
      </c>
      <c r="N10" s="30">
        <v>20.0</v>
      </c>
      <c r="O10" s="31">
        <f t="shared" si="1"/>
        <v>26</v>
      </c>
      <c r="P10" s="44" t="s">
        <v>47</v>
      </c>
      <c r="Q10" s="5"/>
      <c r="R10" s="6"/>
      <c r="S10" s="57">
        <v>20.0</v>
      </c>
      <c r="T10" s="46"/>
      <c r="U10" s="47">
        <f t="shared" si="2"/>
        <v>170</v>
      </c>
      <c r="V10" s="5"/>
      <c r="W10" s="48">
        <v>97.0</v>
      </c>
      <c r="X10" s="49">
        <v>73.0</v>
      </c>
      <c r="Y10" s="55"/>
      <c r="Z10" s="7"/>
    </row>
    <row r="11">
      <c r="A11" s="40"/>
      <c r="B11" s="41">
        <v>6503697.0</v>
      </c>
      <c r="C11" s="58" t="s">
        <v>48</v>
      </c>
      <c r="D11" s="43" t="s">
        <v>29</v>
      </c>
      <c r="E11" s="52" t="s">
        <v>49</v>
      </c>
      <c r="F11" s="27">
        <f>IFERROR(__xludf.DUMMYFUNCTION("IMPORTRANGE(""https://docs.google.com/spreadsheets/d/1PfPfEwC5dEUihreebI-m2li0jy93An_sgb4FoUuUS0A/edit"",ROW(A11)+3686 &amp; ""!Z2"")
"),0.0)</f>
        <v>0</v>
      </c>
      <c r="G11" s="28">
        <f>IFERROR(__xludf.DUMMYFUNCTION("IMPORTRANGE(""https://docs.google.com/spreadsheets/d/1Nbblj-B70vD9i5jtbyRScyGBXpK_G1dtuDsnJIkMMCA/edit"",ROW(A11)+3686 &amp; ""!Z2"")"),18.0)</f>
        <v>18</v>
      </c>
      <c r="H11" s="29">
        <f>IFERROR(__xludf.DUMMYFUNCTION("IMPORTRANGE(""https://docs.google.com/spreadsheets/d/1jC_PCDgJE2oAmRjwPebkLo_nuqmEUnzBZXpPeH3akQo/edit"",ROW(A11)+3686 &amp; ""!Z2"")"),0.0)</f>
        <v>0</v>
      </c>
      <c r="I11" s="29">
        <f>IFERROR(__xludf.DUMMYFUNCTION("IMPORTRANGE(""https://docs.google.com/spreadsheets/d/1-sYqmNw9LxKJwVmpiSlNiOxHtcQzJNN_Zm5ZWpdvWxc/edit"",ROW(A11)+3686 &amp; ""!Z2"")"),0.0)</f>
        <v>0</v>
      </c>
      <c r="J11" s="29">
        <f>IFERROR(__xludf.DUMMYFUNCTION("IMPORTRANGE(""https://docs.google.com/spreadsheets/d/1ByAR-SZLYFmMZasGxoybWwey9ybLPunmZo2lxna7gz8/edit"",ROW(A11)+3686 &amp; ""!Z2"")"),30.0)</f>
        <v>30</v>
      </c>
      <c r="K11" s="29">
        <f>IFERROR(__xludf.DUMMYFUNCTION("IMPORTRANGE(""https://docs.google.com/spreadsheets/d/1u3kjep_Ay-rJA2uAkkFXuGH0h4mooEyUGnckMoeCfOs/edit"",ROW(A11)+3686 &amp; ""!Z2"")"),0.0)</f>
        <v>0</v>
      </c>
      <c r="L11" s="29">
        <f>IFERROR(__xludf.DUMMYFUNCTION("IMPORTRANGE(""https://docs.google.com/spreadsheets/d/1HTReQ1YdOqch3sGPwq1QL9QnAoK2TCkEH0Emcc83oYs/edit"",ROW(A11)+3686 &amp; ""!Z2"")"),0.0)</f>
        <v>0</v>
      </c>
      <c r="M11" s="29">
        <f>IFERROR(__xludf.DUMMYFUNCTION("IMPORTRANGE(""https://docs.google.com/spreadsheets/d/1hq2y4DlBv4QXLvBwR-9pvgxKcEYt7dtr1-jKlqdvqhQ/edit"",ROW(A11)+3686 &amp; ""!Z2"")"),0.0)</f>
        <v>0</v>
      </c>
      <c r="N11" s="30">
        <v>20.0</v>
      </c>
      <c r="O11" s="31">
        <f t="shared" si="1"/>
        <v>68</v>
      </c>
      <c r="P11" s="53" t="s">
        <v>37</v>
      </c>
      <c r="Q11" s="5"/>
      <c r="R11" s="6"/>
      <c r="S11" s="5"/>
      <c r="T11" s="46"/>
      <c r="U11" s="47">
        <f t="shared" si="2"/>
        <v>208</v>
      </c>
      <c r="V11" s="5"/>
      <c r="W11" s="48">
        <v>116.0</v>
      </c>
      <c r="X11" s="49">
        <v>92.0</v>
      </c>
      <c r="Y11" s="55"/>
      <c r="Z11" s="7"/>
    </row>
    <row r="12">
      <c r="A12" s="40"/>
      <c r="B12" s="41">
        <v>6503698.0</v>
      </c>
      <c r="C12" s="51" t="s">
        <v>50</v>
      </c>
      <c r="D12" s="43" t="s">
        <v>29</v>
      </c>
      <c r="E12" s="52" t="s">
        <v>51</v>
      </c>
      <c r="F12" s="27">
        <f>IFERROR(__xludf.DUMMYFUNCTION("IMPORTRANGE(""https://docs.google.com/spreadsheets/d/1PfPfEwC5dEUihreebI-m2li0jy93An_sgb4FoUuUS0A/edit"",ROW(A12)+3686 &amp; ""!Z2"")
"),0.0)</f>
        <v>0</v>
      </c>
      <c r="G12" s="28">
        <f>IFERROR(__xludf.DUMMYFUNCTION("IMPORTRANGE(""https://docs.google.com/spreadsheets/d/1Nbblj-B70vD9i5jtbyRScyGBXpK_G1dtuDsnJIkMMCA/edit"",ROW(A12)+3686 &amp; ""!Z2"")"),6.0)</f>
        <v>6</v>
      </c>
      <c r="H12" s="29">
        <f>IFERROR(__xludf.DUMMYFUNCTION("IMPORTRANGE(""https://docs.google.com/spreadsheets/d/1jC_PCDgJE2oAmRjwPebkLo_nuqmEUnzBZXpPeH3akQo/edit"",ROW(A12)+3686 &amp; ""!Z2"")"),0.0)</f>
        <v>0</v>
      </c>
      <c r="I12" s="29">
        <f>IFERROR(__xludf.DUMMYFUNCTION("IMPORTRANGE(""https://docs.google.com/spreadsheets/d/1-sYqmNw9LxKJwVmpiSlNiOxHtcQzJNN_Zm5ZWpdvWxc/edit"",ROW(A12)+3686 &amp; ""!Z2"")"),0.0)</f>
        <v>0</v>
      </c>
      <c r="J12" s="29">
        <f>IFERROR(__xludf.DUMMYFUNCTION("IMPORTRANGE(""https://docs.google.com/spreadsheets/d/1ByAR-SZLYFmMZasGxoybWwey9ybLPunmZo2lxna7gz8/edit"",ROW(A12)+3686 &amp; ""!Z2"")"),8.0)</f>
        <v>8</v>
      </c>
      <c r="K12" s="29">
        <f>IFERROR(__xludf.DUMMYFUNCTION("IMPORTRANGE(""https://docs.google.com/spreadsheets/d/1u3kjep_Ay-rJA2uAkkFXuGH0h4mooEyUGnckMoeCfOs/edit"",ROW(A12)+3686 &amp; ""!Z2"")"),4.0)</f>
        <v>4</v>
      </c>
      <c r="L12" s="29">
        <f>IFERROR(__xludf.DUMMYFUNCTION("IMPORTRANGE(""https://docs.google.com/spreadsheets/d/1HTReQ1YdOqch3sGPwq1QL9QnAoK2TCkEH0Emcc83oYs/edit"",ROW(A12)+3686 &amp; ""!Z2"")"),4.0)</f>
        <v>4</v>
      </c>
      <c r="M12" s="29">
        <f>IFERROR(__xludf.DUMMYFUNCTION("IMPORTRANGE(""https://docs.google.com/spreadsheets/d/1hq2y4DlBv4QXLvBwR-9pvgxKcEYt7dtr1-jKlqdvqhQ/edit"",ROW(A12)+3686 &amp; ""!Z2"")"),4.0)</f>
        <v>4</v>
      </c>
      <c r="N12" s="30"/>
      <c r="O12" s="31">
        <f t="shared" si="1"/>
        <v>26</v>
      </c>
      <c r="P12" s="5"/>
      <c r="Q12" s="5"/>
      <c r="R12" s="6"/>
      <c r="S12" s="5"/>
      <c r="T12" s="46"/>
      <c r="U12" s="47">
        <f t="shared" si="2"/>
        <v>204</v>
      </c>
      <c r="V12" s="5"/>
      <c r="W12" s="48">
        <v>113.0</v>
      </c>
      <c r="X12" s="49">
        <v>91.0</v>
      </c>
      <c r="Y12" s="55"/>
      <c r="Z12" s="7"/>
    </row>
    <row r="13">
      <c r="A13" s="40"/>
      <c r="B13" s="41">
        <v>6503699.0</v>
      </c>
      <c r="C13" s="51" t="s">
        <v>52</v>
      </c>
      <c r="D13" s="43" t="s">
        <v>29</v>
      </c>
      <c r="E13" s="52" t="s">
        <v>53</v>
      </c>
      <c r="F13" s="27">
        <f>IFERROR(__xludf.DUMMYFUNCTION("IMPORTRANGE(""https://docs.google.com/spreadsheets/d/1PfPfEwC5dEUihreebI-m2li0jy93An_sgb4FoUuUS0A/edit"",ROW(A13)+3686 &amp; ""!Z2"")
"),0.0)</f>
        <v>0</v>
      </c>
      <c r="G13" s="28">
        <f>IFERROR(__xludf.DUMMYFUNCTION("IMPORTRANGE(""https://docs.google.com/spreadsheets/d/1Nbblj-B70vD9i5jtbyRScyGBXpK_G1dtuDsnJIkMMCA/edit"",ROW(A13)+3686 &amp; ""!Z2"")"),6.0)</f>
        <v>6</v>
      </c>
      <c r="H13" s="29">
        <f>IFERROR(__xludf.DUMMYFUNCTION("IMPORTRANGE(""https://docs.google.com/spreadsheets/d/1jC_PCDgJE2oAmRjwPebkLo_nuqmEUnzBZXpPeH3akQo/edit"",ROW(A13)+3686 &amp; ""!Z2"")"),0.0)</f>
        <v>0</v>
      </c>
      <c r="I13" s="29">
        <f>IFERROR(__xludf.DUMMYFUNCTION("IMPORTRANGE(""https://docs.google.com/spreadsheets/d/1-sYqmNw9LxKJwVmpiSlNiOxHtcQzJNN_Zm5ZWpdvWxc/edit"",ROW(A13)+3686 &amp; ""!Z2"")"),0.0)</f>
        <v>0</v>
      </c>
      <c r="J13" s="29">
        <f>IFERROR(__xludf.DUMMYFUNCTION("IMPORTRANGE(""https://docs.google.com/spreadsheets/d/1ByAR-SZLYFmMZasGxoybWwey9ybLPunmZo2lxna7gz8/edit"",ROW(A13)+3686 &amp; ""!Z2"")"),20.0)</f>
        <v>20</v>
      </c>
      <c r="K13" s="29">
        <f>IFERROR(__xludf.DUMMYFUNCTION("IMPORTRANGE(""https://docs.google.com/spreadsheets/d/1u3kjep_Ay-rJA2uAkkFXuGH0h4mooEyUGnckMoeCfOs/edit"",ROW(A13)+3686 &amp; ""!Z2"")"),8.0)</f>
        <v>8</v>
      </c>
      <c r="L13" s="29">
        <f>IFERROR(__xludf.DUMMYFUNCTION("IMPORTRANGE(""https://docs.google.com/spreadsheets/d/1HTReQ1YdOqch3sGPwq1QL9QnAoK2TCkEH0Emcc83oYs/edit"",ROW(A13)+3686 &amp; ""!Z2"")"),0.0)</f>
        <v>0</v>
      </c>
      <c r="M13" s="29">
        <f>IFERROR(__xludf.DUMMYFUNCTION("IMPORTRANGE(""https://docs.google.com/spreadsheets/d/1hq2y4DlBv4QXLvBwR-9pvgxKcEYt7dtr1-jKlqdvqhQ/edit"",ROW(A13)+3686 &amp; ""!Z2"")"),0.0)</f>
        <v>0</v>
      </c>
      <c r="N13" s="30"/>
      <c r="O13" s="31">
        <f t="shared" si="1"/>
        <v>34</v>
      </c>
      <c r="P13" s="5"/>
      <c r="Q13" s="5"/>
      <c r="R13" s="6"/>
      <c r="S13" s="5"/>
      <c r="T13" s="46"/>
      <c r="U13" s="47">
        <f t="shared" si="2"/>
        <v>192</v>
      </c>
      <c r="V13" s="5"/>
      <c r="W13" s="48">
        <v>108.0</v>
      </c>
      <c r="X13" s="49">
        <v>84.0</v>
      </c>
      <c r="Y13" s="55"/>
      <c r="Z13" s="7"/>
    </row>
    <row r="14">
      <c r="A14" s="40"/>
      <c r="B14" s="41">
        <v>6503700.0</v>
      </c>
      <c r="C14" s="51" t="s">
        <v>54</v>
      </c>
      <c r="D14" s="43" t="s">
        <v>29</v>
      </c>
      <c r="E14" s="52" t="s">
        <v>55</v>
      </c>
      <c r="F14" s="27">
        <f>IFERROR(__xludf.DUMMYFUNCTION("IMPORTRANGE(""https://docs.google.com/spreadsheets/d/1PfPfEwC5dEUihreebI-m2li0jy93An_sgb4FoUuUS0A/edit"",ROW(A14)+3686 &amp; ""!Z2"")
"),0.0)</f>
        <v>0</v>
      </c>
      <c r="G14" s="28">
        <f>IFERROR(__xludf.DUMMYFUNCTION("IMPORTRANGE(""https://docs.google.com/spreadsheets/d/1Nbblj-B70vD9i5jtbyRScyGBXpK_G1dtuDsnJIkMMCA/edit"",ROW(A14)+3686 &amp; ""!Z2"")"),6.0)</f>
        <v>6</v>
      </c>
      <c r="H14" s="29">
        <f>IFERROR(__xludf.DUMMYFUNCTION("IMPORTRANGE(""https://docs.google.com/spreadsheets/d/1jC_PCDgJE2oAmRjwPebkLo_nuqmEUnzBZXpPeH3akQo/edit"",ROW(A14)+3686 &amp; ""!Z2"")"),0.0)</f>
        <v>0</v>
      </c>
      <c r="I14" s="29">
        <f>IFERROR(__xludf.DUMMYFUNCTION("IMPORTRANGE(""https://docs.google.com/spreadsheets/d/1-sYqmNw9LxKJwVmpiSlNiOxHtcQzJNN_Zm5ZWpdvWxc/edit"",ROW(A14)+3686 &amp; ""!Z2"")"),0.0)</f>
        <v>0</v>
      </c>
      <c r="J14" s="29">
        <f>IFERROR(__xludf.DUMMYFUNCTION("IMPORTRANGE(""https://docs.google.com/spreadsheets/d/1ByAR-SZLYFmMZasGxoybWwey9ybLPunmZo2lxna7gz8/edit"",ROW(A14)+3686 &amp; ""!Z2"")"),8.0)</f>
        <v>8</v>
      </c>
      <c r="K14" s="29">
        <f>IFERROR(__xludf.DUMMYFUNCTION("IMPORTRANGE(""https://docs.google.com/spreadsheets/d/1u3kjep_Ay-rJA2uAkkFXuGH0h4mooEyUGnckMoeCfOs/edit"",ROW(A14)+3686 &amp; ""!Z2"")"),4.0)</f>
        <v>4</v>
      </c>
      <c r="L14" s="29">
        <f>IFERROR(__xludf.DUMMYFUNCTION("IMPORTRANGE(""https://docs.google.com/spreadsheets/d/1HTReQ1YdOqch3sGPwq1QL9QnAoK2TCkEH0Emcc83oYs/edit"",ROW(A14)+3686 &amp; ""!Z2"")"),4.0)</f>
        <v>4</v>
      </c>
      <c r="M14" s="29">
        <f>IFERROR(__xludf.DUMMYFUNCTION("IMPORTRANGE(""https://docs.google.com/spreadsheets/d/1hq2y4DlBv4QXLvBwR-9pvgxKcEYt7dtr1-jKlqdvqhQ/edit"",ROW(A14)+3686 &amp; ""!Z2"")"),4.0)</f>
        <v>4</v>
      </c>
      <c r="N14" s="30"/>
      <c r="O14" s="31">
        <f t="shared" si="1"/>
        <v>26</v>
      </c>
      <c r="P14" s="5"/>
      <c r="Q14" s="5"/>
      <c r="R14" s="6"/>
      <c r="S14" s="5"/>
      <c r="T14" s="46"/>
      <c r="U14" s="47">
        <f t="shared" si="2"/>
        <v>166</v>
      </c>
      <c r="V14" s="5"/>
      <c r="W14" s="48">
        <v>94.0</v>
      </c>
      <c r="X14" s="49">
        <v>72.0</v>
      </c>
      <c r="Y14" s="55"/>
      <c r="Z14" s="7"/>
    </row>
    <row r="15">
      <c r="A15" s="40"/>
      <c r="B15" s="41">
        <v>6503701.0</v>
      </c>
      <c r="C15" s="51" t="s">
        <v>56</v>
      </c>
      <c r="D15" s="43" t="s">
        <v>29</v>
      </c>
      <c r="E15" s="52" t="s">
        <v>57</v>
      </c>
      <c r="F15" s="27">
        <f>IFERROR(__xludf.DUMMYFUNCTION("IMPORTRANGE(""https://docs.google.com/spreadsheets/d/1PfPfEwC5dEUihreebI-m2li0jy93An_sgb4FoUuUS0A/edit"",ROW(A15)+3686 &amp; ""!Z2"")
"),0.0)</f>
        <v>0</v>
      </c>
      <c r="G15" s="28">
        <f>IFERROR(__xludf.DUMMYFUNCTION("IMPORTRANGE(""https://docs.google.com/spreadsheets/d/1Nbblj-B70vD9i5jtbyRScyGBXpK_G1dtuDsnJIkMMCA/edit"",ROW(A15)+3686 &amp; ""!Z2"")"),6.0)</f>
        <v>6</v>
      </c>
      <c r="H15" s="29">
        <f>IFERROR(__xludf.DUMMYFUNCTION("IMPORTRANGE(""https://docs.google.com/spreadsheets/d/1jC_PCDgJE2oAmRjwPebkLo_nuqmEUnzBZXpPeH3akQo/edit"",ROW(A15)+3686 &amp; ""!Z2"")"),0.0)</f>
        <v>0</v>
      </c>
      <c r="I15" s="29">
        <f>IFERROR(__xludf.DUMMYFUNCTION("IMPORTRANGE(""https://docs.google.com/spreadsheets/d/1-sYqmNw9LxKJwVmpiSlNiOxHtcQzJNN_Zm5ZWpdvWxc/edit"",ROW(A15)+3686 &amp; ""!Z2"")"),0.0)</f>
        <v>0</v>
      </c>
      <c r="J15" s="29">
        <f>IFERROR(__xludf.DUMMYFUNCTION("IMPORTRANGE(""https://docs.google.com/spreadsheets/d/1ByAR-SZLYFmMZasGxoybWwey9ybLPunmZo2lxna7gz8/edit"",ROW(A15)+3686 &amp; ""!Z2"")"),9.0)</f>
        <v>9</v>
      </c>
      <c r="K15" s="29">
        <f>IFERROR(__xludf.DUMMYFUNCTION("IMPORTRANGE(""https://docs.google.com/spreadsheets/d/1u3kjep_Ay-rJA2uAkkFXuGH0h4mooEyUGnckMoeCfOs/edit"",ROW(A15)+3686 &amp; ""!Z2"")"),0.0)</f>
        <v>0</v>
      </c>
      <c r="L15" s="29">
        <f>IFERROR(__xludf.DUMMYFUNCTION("IMPORTRANGE(""https://docs.google.com/spreadsheets/d/1HTReQ1YdOqch3sGPwq1QL9QnAoK2TCkEH0Emcc83oYs/edit"",ROW(A15)+3686 &amp; ""!Z2"")"),6.0)</f>
        <v>6</v>
      </c>
      <c r="M15" s="29">
        <f>IFERROR(__xludf.DUMMYFUNCTION("IMPORTRANGE(""https://docs.google.com/spreadsheets/d/1hq2y4DlBv4QXLvBwR-9pvgxKcEYt7dtr1-jKlqdvqhQ/edit"",ROW(A15)+3686 &amp; ""!Z2"")"),6.0)</f>
        <v>6</v>
      </c>
      <c r="N15" s="30">
        <v>20.0</v>
      </c>
      <c r="O15" s="31">
        <f t="shared" si="1"/>
        <v>47</v>
      </c>
      <c r="P15" s="53" t="s">
        <v>58</v>
      </c>
      <c r="Q15" s="5"/>
      <c r="R15" s="6"/>
      <c r="S15" s="5"/>
      <c r="T15" s="46"/>
      <c r="U15" s="47">
        <f t="shared" si="2"/>
        <v>221</v>
      </c>
      <c r="V15" s="5"/>
      <c r="W15" s="48">
        <v>119.0</v>
      </c>
      <c r="X15" s="49">
        <v>102.0</v>
      </c>
      <c r="Y15" s="55"/>
      <c r="Z15" s="7"/>
    </row>
    <row r="16">
      <c r="A16" s="40"/>
      <c r="B16" s="41">
        <v>6503702.0</v>
      </c>
      <c r="C16" s="51" t="s">
        <v>59</v>
      </c>
      <c r="D16" s="43" t="s">
        <v>29</v>
      </c>
      <c r="E16" s="52" t="s">
        <v>60</v>
      </c>
      <c r="F16" s="27">
        <f>IFERROR(__xludf.DUMMYFUNCTION("IMPORTRANGE(""https://docs.google.com/spreadsheets/d/1PfPfEwC5dEUihreebI-m2li0jy93An_sgb4FoUuUS0A/edit"",ROW(A16)+3686 &amp; ""!Z2"")
"),0.0)</f>
        <v>0</v>
      </c>
      <c r="G16" s="28">
        <f>IFERROR(__xludf.DUMMYFUNCTION("IMPORTRANGE(""https://docs.google.com/spreadsheets/d/1Nbblj-B70vD9i5jtbyRScyGBXpK_G1dtuDsnJIkMMCA/edit"",ROW(A16)+3686 &amp; ""!Z2"")"),11.0)</f>
        <v>11</v>
      </c>
      <c r="H16" s="29">
        <f>IFERROR(__xludf.DUMMYFUNCTION("IMPORTRANGE(""https://docs.google.com/spreadsheets/d/1jC_PCDgJE2oAmRjwPebkLo_nuqmEUnzBZXpPeH3akQo/edit"",ROW(A16)+3686 &amp; ""!Z2"")"),0.0)</f>
        <v>0</v>
      </c>
      <c r="I16" s="29">
        <f>IFERROR(__xludf.DUMMYFUNCTION("IMPORTRANGE(""https://docs.google.com/spreadsheets/d/1-sYqmNw9LxKJwVmpiSlNiOxHtcQzJNN_Zm5ZWpdvWxc/edit"",ROW(A16)+3686 &amp; ""!Z2"")"),0.0)</f>
        <v>0</v>
      </c>
      <c r="J16" s="29">
        <f>IFERROR(__xludf.DUMMYFUNCTION("IMPORTRANGE(""https://docs.google.com/spreadsheets/d/1ByAR-SZLYFmMZasGxoybWwey9ybLPunmZo2lxna7gz8/edit"",ROW(A16)+3686 &amp; ""!Z2"")"),9.0)</f>
        <v>9</v>
      </c>
      <c r="K16" s="29">
        <f>IFERROR(__xludf.DUMMYFUNCTION("IMPORTRANGE(""https://docs.google.com/spreadsheets/d/1u3kjep_Ay-rJA2uAkkFXuGH0h4mooEyUGnckMoeCfOs/edit"",ROW(A16)+3686 &amp; ""!Z2"")"),8.0)</f>
        <v>8</v>
      </c>
      <c r="L16" s="29">
        <f>IFERROR(__xludf.DUMMYFUNCTION("IMPORTRANGE(""https://docs.google.com/spreadsheets/d/1HTReQ1YdOqch3sGPwq1QL9QnAoK2TCkEH0Emcc83oYs/edit"",ROW(A16)+3686 &amp; ""!Z2"")"),0.0)</f>
        <v>0</v>
      </c>
      <c r="M16" s="29">
        <f>IFERROR(__xludf.DUMMYFUNCTION("IMPORTRANGE(""https://docs.google.com/spreadsheets/d/1hq2y4DlBv4QXLvBwR-9pvgxKcEYt7dtr1-jKlqdvqhQ/edit"",ROW(A16)+3686 &amp; ""!Z2"")"),0.0)</f>
        <v>0</v>
      </c>
      <c r="N16" s="30"/>
      <c r="O16" s="31">
        <f t="shared" si="1"/>
        <v>28</v>
      </c>
      <c r="P16" s="5"/>
      <c r="Q16" s="5"/>
      <c r="R16" s="6"/>
      <c r="S16" s="5"/>
      <c r="T16" s="46"/>
      <c r="U16" s="47">
        <f t="shared" si="2"/>
        <v>173</v>
      </c>
      <c r="V16" s="5"/>
      <c r="W16" s="48">
        <v>96.0</v>
      </c>
      <c r="X16" s="49">
        <v>77.0</v>
      </c>
      <c r="Y16" s="55"/>
      <c r="Z16" s="7"/>
    </row>
    <row r="17">
      <c r="A17" s="40"/>
      <c r="B17" s="41">
        <v>6503703.0</v>
      </c>
      <c r="C17" s="51" t="s">
        <v>61</v>
      </c>
      <c r="D17" s="43" t="s">
        <v>29</v>
      </c>
      <c r="E17" s="52" t="s">
        <v>62</v>
      </c>
      <c r="F17" s="27">
        <f>IFERROR(__xludf.DUMMYFUNCTION("IMPORTRANGE(""https://docs.google.com/spreadsheets/d/1PfPfEwC5dEUihreebI-m2li0jy93An_sgb4FoUuUS0A/edit"",ROW(A17)+3686 &amp; ""!Z2"")
"),8.0)</f>
        <v>8</v>
      </c>
      <c r="G17" s="28">
        <f>IFERROR(__xludf.DUMMYFUNCTION("IMPORTRANGE(""https://docs.google.com/spreadsheets/d/1Nbblj-B70vD9i5jtbyRScyGBXpK_G1dtuDsnJIkMMCA/edit"",ROW(A17)+3686 &amp; ""!Z2"")"),6.0)</f>
        <v>6</v>
      </c>
      <c r="H17" s="29">
        <f>IFERROR(__xludf.DUMMYFUNCTION("IMPORTRANGE(""https://docs.google.com/spreadsheets/d/1jC_PCDgJE2oAmRjwPebkLo_nuqmEUnzBZXpPeH3akQo/edit"",ROW(A17)+3686 &amp; ""!Z2"")"),0.0)</f>
        <v>0</v>
      </c>
      <c r="I17" s="29">
        <f>IFERROR(__xludf.DUMMYFUNCTION("IMPORTRANGE(""https://docs.google.com/spreadsheets/d/1-sYqmNw9LxKJwVmpiSlNiOxHtcQzJNN_Zm5ZWpdvWxc/edit"",ROW(A17)+3686 &amp; ""!Z2"")"),0.0)</f>
        <v>0</v>
      </c>
      <c r="J17" s="29">
        <f>IFERROR(__xludf.DUMMYFUNCTION("IMPORTRANGE(""https://docs.google.com/spreadsheets/d/1ByAR-SZLYFmMZasGxoybWwey9ybLPunmZo2lxna7gz8/edit"",ROW(A17)+3686 &amp; ""!Z2"")"),13.0)</f>
        <v>13</v>
      </c>
      <c r="K17" s="29">
        <f>IFERROR(__xludf.DUMMYFUNCTION("IMPORTRANGE(""https://docs.google.com/spreadsheets/d/1u3kjep_Ay-rJA2uAkkFXuGH0h4mooEyUGnckMoeCfOs/edit"",ROW(A17)+3686 &amp; ""!Z2"")"),4.0)</f>
        <v>4</v>
      </c>
      <c r="L17" s="29">
        <f>IFERROR(__xludf.DUMMYFUNCTION("IMPORTRANGE(""https://docs.google.com/spreadsheets/d/1HTReQ1YdOqch3sGPwq1QL9QnAoK2TCkEH0Emcc83oYs/edit"",ROW(A17)+3686 &amp; ""!Z2"")"),0.0)</f>
        <v>0</v>
      </c>
      <c r="M17" s="29">
        <f>IFERROR(__xludf.DUMMYFUNCTION("IMPORTRANGE(""https://docs.google.com/spreadsheets/d/1hq2y4DlBv4QXLvBwR-9pvgxKcEYt7dtr1-jKlqdvqhQ/edit"",ROW(A17)+3686 &amp; ""!Z2"")"),0.0)</f>
        <v>0</v>
      </c>
      <c r="N17" s="30"/>
      <c r="O17" s="31">
        <f t="shared" si="1"/>
        <v>31</v>
      </c>
      <c r="P17" s="5"/>
      <c r="Q17" s="5"/>
      <c r="R17" s="6"/>
      <c r="S17" s="5"/>
      <c r="T17" s="46"/>
      <c r="U17" s="47">
        <f t="shared" si="2"/>
        <v>164</v>
      </c>
      <c r="V17" s="5"/>
      <c r="W17" s="48">
        <v>94.0</v>
      </c>
      <c r="X17" s="49">
        <v>70.0</v>
      </c>
      <c r="Y17" s="55"/>
      <c r="Z17" s="7"/>
    </row>
    <row r="18">
      <c r="A18" s="40"/>
      <c r="B18" s="41">
        <v>6503704.0</v>
      </c>
      <c r="C18" s="51" t="s">
        <v>63</v>
      </c>
      <c r="D18" s="43" t="s">
        <v>32</v>
      </c>
      <c r="E18" s="52" t="s">
        <v>64</v>
      </c>
      <c r="F18" s="27">
        <f>IFERROR(__xludf.DUMMYFUNCTION("IMPORTRANGE(""https://docs.google.com/spreadsheets/d/1PfPfEwC5dEUihreebI-m2li0jy93An_sgb4FoUuUS0A/edit"",ROW(A18)+3686 &amp; ""!Z2"")
"),0.0)</f>
        <v>0</v>
      </c>
      <c r="G18" s="28">
        <f>IFERROR(__xludf.DUMMYFUNCTION("IMPORTRANGE(""https://docs.google.com/spreadsheets/d/1Nbblj-B70vD9i5jtbyRScyGBXpK_G1dtuDsnJIkMMCA/edit"",ROW(A18)+3686 &amp; ""!Z2"")"),6.0)</f>
        <v>6</v>
      </c>
      <c r="H18" s="29">
        <f>IFERROR(__xludf.DUMMYFUNCTION("IMPORTRANGE(""https://docs.google.com/spreadsheets/d/1jC_PCDgJE2oAmRjwPebkLo_nuqmEUnzBZXpPeH3akQo/edit"",ROW(A18)+3686 &amp; ""!Z2"")"),0.0)</f>
        <v>0</v>
      </c>
      <c r="I18" s="29">
        <f>IFERROR(__xludf.DUMMYFUNCTION("IMPORTRANGE(""https://docs.google.com/spreadsheets/d/1-sYqmNw9LxKJwVmpiSlNiOxHtcQzJNN_Zm5ZWpdvWxc/edit"",ROW(A18)+3686 &amp; ""!Z2"")"),0.0)</f>
        <v>0</v>
      </c>
      <c r="J18" s="29">
        <f>IFERROR(__xludf.DUMMYFUNCTION("IMPORTRANGE(""https://docs.google.com/spreadsheets/d/1ByAR-SZLYFmMZasGxoybWwey9ybLPunmZo2lxna7gz8/edit"",ROW(A18)+3686 &amp; ""!Z2"")"),6.0)</f>
        <v>6</v>
      </c>
      <c r="K18" s="29">
        <f>IFERROR(__xludf.DUMMYFUNCTION("IMPORTRANGE(""https://docs.google.com/spreadsheets/d/1u3kjep_Ay-rJA2uAkkFXuGH0h4mooEyUGnckMoeCfOs/edit"",ROW(A18)+3686 &amp; ""!Z2"")"),4.0)</f>
        <v>4</v>
      </c>
      <c r="L18" s="29">
        <f>IFERROR(__xludf.DUMMYFUNCTION("IMPORTRANGE(""https://docs.google.com/spreadsheets/d/1HTReQ1YdOqch3sGPwq1QL9QnAoK2TCkEH0Emcc83oYs/edit"",ROW(A18)+3686 &amp; ""!Z2"")"),10.0)</f>
        <v>10</v>
      </c>
      <c r="M18" s="29">
        <f>IFERROR(__xludf.DUMMYFUNCTION("IMPORTRANGE(""https://docs.google.com/spreadsheets/d/1hq2y4DlBv4QXLvBwR-9pvgxKcEYt7dtr1-jKlqdvqhQ/edit"",ROW(A18)+3686 &amp; ""!Z2"")"),10.0)</f>
        <v>10</v>
      </c>
      <c r="N18" s="30">
        <v>20.0</v>
      </c>
      <c r="O18" s="31">
        <f t="shared" si="1"/>
        <v>56</v>
      </c>
      <c r="P18" s="44" t="s">
        <v>34</v>
      </c>
      <c r="Q18" s="5"/>
      <c r="R18" s="6"/>
      <c r="S18" s="57">
        <v>20.0</v>
      </c>
      <c r="T18" s="46"/>
      <c r="U18" s="47">
        <f t="shared" si="2"/>
        <v>248</v>
      </c>
      <c r="V18" s="5"/>
      <c r="W18" s="48">
        <v>136.0</v>
      </c>
      <c r="X18" s="49">
        <v>112.0</v>
      </c>
      <c r="Y18" s="55"/>
      <c r="Z18" s="7"/>
    </row>
    <row r="19">
      <c r="A19" s="40"/>
      <c r="B19" s="41">
        <v>6503705.0</v>
      </c>
      <c r="C19" s="51" t="s">
        <v>65</v>
      </c>
      <c r="D19" s="43" t="s">
        <v>29</v>
      </c>
      <c r="E19" s="52" t="s">
        <v>66</v>
      </c>
      <c r="F19" s="27">
        <f>IFERROR(__xludf.DUMMYFUNCTION("IMPORTRANGE(""https://docs.google.com/spreadsheets/d/1PfPfEwC5dEUihreebI-m2li0jy93An_sgb4FoUuUS0A/edit"",ROW(A19)+3686 &amp; ""!Z2"")
"),0.0)</f>
        <v>0</v>
      </c>
      <c r="G19" s="28">
        <f>IFERROR(__xludf.DUMMYFUNCTION("IMPORTRANGE(""https://docs.google.com/spreadsheets/d/1Nbblj-B70vD9i5jtbyRScyGBXpK_G1dtuDsnJIkMMCA/edit"",ROW(A19)+3686 &amp; ""!Z2"")"),6.0)</f>
        <v>6</v>
      </c>
      <c r="H19" s="29">
        <f>IFERROR(__xludf.DUMMYFUNCTION("IMPORTRANGE(""https://docs.google.com/spreadsheets/d/1jC_PCDgJE2oAmRjwPebkLo_nuqmEUnzBZXpPeH3akQo/edit"",ROW(A19)+3686 &amp; ""!Z2"")"),0.0)</f>
        <v>0</v>
      </c>
      <c r="I19" s="29">
        <f>IFERROR(__xludf.DUMMYFUNCTION("IMPORTRANGE(""https://docs.google.com/spreadsheets/d/1-sYqmNw9LxKJwVmpiSlNiOxHtcQzJNN_Zm5ZWpdvWxc/edit"",ROW(A19)+3686 &amp; ""!Z2"")"),0.0)</f>
        <v>0</v>
      </c>
      <c r="J19" s="29">
        <f>IFERROR(__xludf.DUMMYFUNCTION("IMPORTRANGE(""https://docs.google.com/spreadsheets/d/1ByAR-SZLYFmMZasGxoybWwey9ybLPunmZo2lxna7gz8/edit"",ROW(A19)+3686 &amp; ""!Z2"")"),0.0)</f>
        <v>0</v>
      </c>
      <c r="K19" s="29">
        <f>IFERROR(__xludf.DUMMYFUNCTION("IMPORTRANGE(""https://docs.google.com/spreadsheets/d/1u3kjep_Ay-rJA2uAkkFXuGH0h4mooEyUGnckMoeCfOs/edit"",ROW(A19)+3686 &amp; ""!Z2"")"),25.0)</f>
        <v>25</v>
      </c>
      <c r="L19" s="29">
        <f>IFERROR(__xludf.DUMMYFUNCTION("IMPORTRANGE(""https://docs.google.com/spreadsheets/d/1HTReQ1YdOqch3sGPwq1QL9QnAoK2TCkEH0Emcc83oYs/edit"",ROW(A19)+3686 &amp; ""!Z2"")"),0.0)</f>
        <v>0</v>
      </c>
      <c r="M19" s="29">
        <f>IFERROR(__xludf.DUMMYFUNCTION("IMPORTRANGE(""https://docs.google.com/spreadsheets/d/1hq2y4DlBv4QXLvBwR-9pvgxKcEYt7dtr1-jKlqdvqhQ/edit"",ROW(A19)+3686 &amp; ""!Z2"")"),0.0)</f>
        <v>0</v>
      </c>
      <c r="N19" s="30"/>
      <c r="O19" s="31">
        <f t="shared" si="1"/>
        <v>31</v>
      </c>
      <c r="P19" s="5"/>
      <c r="Q19" s="5"/>
      <c r="R19" s="6"/>
      <c r="S19" s="5"/>
      <c r="T19" s="46"/>
      <c r="U19" s="47">
        <f t="shared" si="2"/>
        <v>166</v>
      </c>
      <c r="V19" s="5"/>
      <c r="W19" s="48">
        <v>95.0</v>
      </c>
      <c r="X19" s="49">
        <v>71.0</v>
      </c>
      <c r="Y19" s="55"/>
      <c r="Z19" s="7"/>
    </row>
    <row r="20">
      <c r="A20" s="40"/>
      <c r="B20" s="41">
        <v>6503706.0</v>
      </c>
      <c r="C20" s="51" t="s">
        <v>67</v>
      </c>
      <c r="D20" s="43" t="s">
        <v>29</v>
      </c>
      <c r="E20" s="52" t="s">
        <v>68</v>
      </c>
      <c r="F20" s="27">
        <f>IFERROR(__xludf.DUMMYFUNCTION("IMPORTRANGE(""https://docs.google.com/spreadsheets/d/1PfPfEwC5dEUihreebI-m2li0jy93An_sgb4FoUuUS0A/edit"",ROW(A20)+3686 &amp; ""!Z2"")
"),8.0)</f>
        <v>8</v>
      </c>
      <c r="G20" s="28">
        <f>IFERROR(__xludf.DUMMYFUNCTION("IMPORTRANGE(""https://docs.google.com/spreadsheets/d/1Nbblj-B70vD9i5jtbyRScyGBXpK_G1dtuDsnJIkMMCA/edit"",ROW(A20)+3686 &amp; ""!Z2"")"),6.0)</f>
        <v>6</v>
      </c>
      <c r="H20" s="29">
        <f>IFERROR(__xludf.DUMMYFUNCTION("IMPORTRANGE(""https://docs.google.com/spreadsheets/d/1jC_PCDgJE2oAmRjwPebkLo_nuqmEUnzBZXpPeH3akQo/edit"",ROW(A20)+3686 &amp; ""!Z2"")"),0.0)</f>
        <v>0</v>
      </c>
      <c r="I20" s="29">
        <f>IFERROR(__xludf.DUMMYFUNCTION("IMPORTRANGE(""https://docs.google.com/spreadsheets/d/1-sYqmNw9LxKJwVmpiSlNiOxHtcQzJNN_Zm5ZWpdvWxc/edit"",ROW(A20)+3686 &amp; ""!Z2"")"),0.0)</f>
        <v>0</v>
      </c>
      <c r="J20" s="29">
        <f>IFERROR(__xludf.DUMMYFUNCTION("IMPORTRANGE(""https://docs.google.com/spreadsheets/d/1ByAR-SZLYFmMZasGxoybWwey9ybLPunmZo2lxna7gz8/edit"",ROW(A20)+3686 &amp; ""!Z2"")"),4.0)</f>
        <v>4</v>
      </c>
      <c r="K20" s="29">
        <f>IFERROR(__xludf.DUMMYFUNCTION("IMPORTRANGE(""https://docs.google.com/spreadsheets/d/1u3kjep_Ay-rJA2uAkkFXuGH0h4mooEyUGnckMoeCfOs/edit"",ROW(A20)+3686 &amp; ""!Z2"")"),8.0)</f>
        <v>8</v>
      </c>
      <c r="L20" s="29">
        <f>IFERROR(__xludf.DUMMYFUNCTION("IMPORTRANGE(""https://docs.google.com/spreadsheets/d/1HTReQ1YdOqch3sGPwq1QL9QnAoK2TCkEH0Emcc83oYs/edit"",ROW(A20)+3686 &amp; ""!Z2"")"),2.0)</f>
        <v>2</v>
      </c>
      <c r="M20" s="29">
        <f>IFERROR(__xludf.DUMMYFUNCTION("IMPORTRANGE(""https://docs.google.com/spreadsheets/d/1hq2y4DlBv4QXLvBwR-9pvgxKcEYt7dtr1-jKlqdvqhQ/edit"",ROW(A20)+3686 &amp; ""!Z2"")"),2.0)</f>
        <v>2</v>
      </c>
      <c r="N20" s="30"/>
      <c r="O20" s="31">
        <f t="shared" si="1"/>
        <v>30</v>
      </c>
      <c r="P20" s="5"/>
      <c r="Q20" s="5"/>
      <c r="R20" s="6"/>
      <c r="S20" s="5"/>
      <c r="T20" s="46"/>
      <c r="U20" s="47">
        <f t="shared" si="2"/>
        <v>204</v>
      </c>
      <c r="V20" s="5"/>
      <c r="W20" s="48">
        <v>110.0</v>
      </c>
      <c r="X20" s="49">
        <v>94.0</v>
      </c>
      <c r="Y20" s="55"/>
      <c r="Z20" s="7"/>
    </row>
    <row r="21">
      <c r="A21" s="40"/>
      <c r="B21" s="41">
        <v>6503707.0</v>
      </c>
      <c r="C21" s="51" t="s">
        <v>69</v>
      </c>
      <c r="D21" s="43" t="s">
        <v>29</v>
      </c>
      <c r="E21" s="52" t="s">
        <v>70</v>
      </c>
      <c r="F21" s="27">
        <f>IFERROR(__xludf.DUMMYFUNCTION("IMPORTRANGE(""https://docs.google.com/spreadsheets/d/1PfPfEwC5dEUihreebI-m2li0jy93An_sgb4FoUuUS0A/edit"",ROW(A21)+3686 &amp; ""!Z2"")
"),0.0)</f>
        <v>0</v>
      </c>
      <c r="G21" s="28">
        <f>IFERROR(__xludf.DUMMYFUNCTION("IMPORTRANGE(""https://docs.google.com/spreadsheets/d/1Nbblj-B70vD9i5jtbyRScyGBXpK_G1dtuDsnJIkMMCA/edit"",ROW(A21)+3686 &amp; ""!Z2"")"),6.0)</f>
        <v>6</v>
      </c>
      <c r="H21" s="29">
        <f>IFERROR(__xludf.DUMMYFUNCTION("IMPORTRANGE(""https://docs.google.com/spreadsheets/d/1jC_PCDgJE2oAmRjwPebkLo_nuqmEUnzBZXpPeH3akQo/edit"",ROW(A21)+3686 &amp; ""!Z2"")"),0.0)</f>
        <v>0</v>
      </c>
      <c r="I21" s="29">
        <f>IFERROR(__xludf.DUMMYFUNCTION("IMPORTRANGE(""https://docs.google.com/spreadsheets/d/1-sYqmNw9LxKJwVmpiSlNiOxHtcQzJNN_Zm5ZWpdvWxc/edit"",ROW(A21)+3686 &amp; ""!Z2"")"),0.0)</f>
        <v>0</v>
      </c>
      <c r="J21" s="29">
        <f>IFERROR(__xludf.DUMMYFUNCTION("IMPORTRANGE(""https://docs.google.com/spreadsheets/d/1ByAR-SZLYFmMZasGxoybWwey9ybLPunmZo2lxna7gz8/edit"",ROW(A21)+3686 &amp; ""!Z2"")"),20.0)</f>
        <v>20</v>
      </c>
      <c r="K21" s="29">
        <f>IFERROR(__xludf.DUMMYFUNCTION("IMPORTRANGE(""https://docs.google.com/spreadsheets/d/1u3kjep_Ay-rJA2uAkkFXuGH0h4mooEyUGnckMoeCfOs/edit"",ROW(A21)+3686 &amp; ""!Z2"")"),0.0)</f>
        <v>0</v>
      </c>
      <c r="L21" s="29">
        <f>IFERROR(__xludf.DUMMYFUNCTION("IMPORTRANGE(""https://docs.google.com/spreadsheets/d/1HTReQ1YdOqch3sGPwq1QL9QnAoK2TCkEH0Emcc83oYs/edit"",ROW(A21)+3686 &amp; ""!Z2"")"),0.0)</f>
        <v>0</v>
      </c>
      <c r="M21" s="29">
        <f>IFERROR(__xludf.DUMMYFUNCTION("IMPORTRANGE(""https://docs.google.com/spreadsheets/d/1hq2y4DlBv4QXLvBwR-9pvgxKcEYt7dtr1-jKlqdvqhQ/edit"",ROW(A21)+3686 &amp; ""!Z2"")"),0.0)</f>
        <v>0</v>
      </c>
      <c r="N21" s="30"/>
      <c r="O21" s="31">
        <f t="shared" si="1"/>
        <v>26</v>
      </c>
      <c r="P21" s="5"/>
      <c r="Q21" s="5"/>
      <c r="R21" s="6"/>
      <c r="S21" s="5"/>
      <c r="T21" s="46"/>
      <c r="U21" s="47">
        <f t="shared" si="2"/>
        <v>260</v>
      </c>
      <c r="V21" s="5"/>
      <c r="W21" s="48">
        <v>142.0</v>
      </c>
      <c r="X21" s="49">
        <v>118.0</v>
      </c>
      <c r="Y21" s="55"/>
      <c r="Z21" s="7"/>
    </row>
    <row r="22">
      <c r="A22" s="40"/>
      <c r="B22" s="41">
        <v>6503708.0</v>
      </c>
      <c r="C22" s="51" t="s">
        <v>71</v>
      </c>
      <c r="D22" s="43" t="s">
        <v>29</v>
      </c>
      <c r="E22" s="52" t="s">
        <v>72</v>
      </c>
      <c r="F22" s="27">
        <f>IFERROR(__xludf.DUMMYFUNCTION("IMPORTRANGE(""https://docs.google.com/spreadsheets/d/1PfPfEwC5dEUihreebI-m2li0jy93An_sgb4FoUuUS0A/edit"",ROW(A22)+3686 &amp; ""!Z2"")
"),0.0)</f>
        <v>0</v>
      </c>
      <c r="G22" s="28">
        <f>IFERROR(__xludf.DUMMYFUNCTION("IMPORTRANGE(""https://docs.google.com/spreadsheets/d/1Nbblj-B70vD9i5jtbyRScyGBXpK_G1dtuDsnJIkMMCA/edit"",ROW(A22)+3686 &amp; ""!Z2"")"),6.0)</f>
        <v>6</v>
      </c>
      <c r="H22" s="29">
        <f>IFERROR(__xludf.DUMMYFUNCTION("IMPORTRANGE(""https://docs.google.com/spreadsheets/d/1jC_PCDgJE2oAmRjwPebkLo_nuqmEUnzBZXpPeH3akQo/edit"",ROW(A22)+3686 &amp; ""!Z2"")"),0.0)</f>
        <v>0</v>
      </c>
      <c r="I22" s="29">
        <f>IFERROR(__xludf.DUMMYFUNCTION("IMPORTRANGE(""https://docs.google.com/spreadsheets/d/1-sYqmNw9LxKJwVmpiSlNiOxHtcQzJNN_Zm5ZWpdvWxc/edit"",ROW(A22)+3686 &amp; ""!Z2"")"),0.0)</f>
        <v>0</v>
      </c>
      <c r="J22" s="29">
        <f>IFERROR(__xludf.DUMMYFUNCTION("IMPORTRANGE(""https://docs.google.com/spreadsheets/d/1ByAR-SZLYFmMZasGxoybWwey9ybLPunmZo2lxna7gz8/edit"",ROW(A22)+3686 &amp; ""!Z2"")"),11.0)</f>
        <v>11</v>
      </c>
      <c r="K22" s="29">
        <f>IFERROR(__xludf.DUMMYFUNCTION("IMPORTRANGE(""https://docs.google.com/spreadsheets/d/1u3kjep_Ay-rJA2uAkkFXuGH0h4mooEyUGnckMoeCfOs/edit"",ROW(A22)+3686 &amp; ""!Z2"")"),8.0)</f>
        <v>8</v>
      </c>
      <c r="L22" s="29">
        <f>IFERROR(__xludf.DUMMYFUNCTION("IMPORTRANGE(""https://docs.google.com/spreadsheets/d/1HTReQ1YdOqch3sGPwq1QL9QnAoK2TCkEH0Emcc83oYs/edit"",ROW(A22)+3686 &amp; ""!Z2"")"),0.0)</f>
        <v>0</v>
      </c>
      <c r="M22" s="29">
        <f>IFERROR(__xludf.DUMMYFUNCTION("IMPORTRANGE(""https://docs.google.com/spreadsheets/d/1hq2y4DlBv4QXLvBwR-9pvgxKcEYt7dtr1-jKlqdvqhQ/edit"",ROW(A22)+3686 &amp; ""!Z2"")"),0.0)</f>
        <v>0</v>
      </c>
      <c r="N22" s="30"/>
      <c r="O22" s="31">
        <f t="shared" si="1"/>
        <v>25</v>
      </c>
      <c r="P22" s="5"/>
      <c r="Q22" s="5"/>
      <c r="R22" s="6"/>
      <c r="S22" s="5"/>
      <c r="T22" s="46"/>
      <c r="U22" s="47">
        <f t="shared" si="2"/>
        <v>164</v>
      </c>
      <c r="V22" s="5"/>
      <c r="W22" s="48">
        <v>94.0</v>
      </c>
      <c r="X22" s="49">
        <v>70.0</v>
      </c>
      <c r="Y22" s="55"/>
      <c r="Z22" s="7"/>
    </row>
    <row r="23">
      <c r="A23" s="40"/>
      <c r="B23" s="41">
        <v>6503709.0</v>
      </c>
      <c r="C23" s="51" t="s">
        <v>73</v>
      </c>
      <c r="D23" s="43" t="s">
        <v>29</v>
      </c>
      <c r="E23" s="52" t="s">
        <v>74</v>
      </c>
      <c r="F23" s="27">
        <f>IFERROR(__xludf.DUMMYFUNCTION("IMPORTRANGE(""https://docs.google.com/spreadsheets/d/1PfPfEwC5dEUihreebI-m2li0jy93An_sgb4FoUuUS0A/edit"",ROW(A23)+3686 &amp; ""!Z2"")
"),8.0)</f>
        <v>8</v>
      </c>
      <c r="G23" s="28">
        <f>IFERROR(__xludf.DUMMYFUNCTION("IMPORTRANGE(""https://docs.google.com/spreadsheets/d/1Nbblj-B70vD9i5jtbyRScyGBXpK_G1dtuDsnJIkMMCA/edit"",ROW(A23)+3686 &amp; ""!Z2"")"),0.0)</f>
        <v>0</v>
      </c>
      <c r="H23" s="29">
        <f>IFERROR(__xludf.DUMMYFUNCTION("IMPORTRANGE(""https://docs.google.com/spreadsheets/d/1jC_PCDgJE2oAmRjwPebkLo_nuqmEUnzBZXpPeH3akQo/edit"",ROW(A23)+3686 &amp; ""!Z2"")"),0.0)</f>
        <v>0</v>
      </c>
      <c r="I23" s="29">
        <f>IFERROR(__xludf.DUMMYFUNCTION("IMPORTRANGE(""https://docs.google.com/spreadsheets/d/1-sYqmNw9LxKJwVmpiSlNiOxHtcQzJNN_Zm5ZWpdvWxc/edit"",ROW(A23)+3686 &amp; ""!Z2"")"),0.0)</f>
        <v>0</v>
      </c>
      <c r="J23" s="29">
        <f>IFERROR(__xludf.DUMMYFUNCTION("IMPORTRANGE(""https://docs.google.com/spreadsheets/d/1ByAR-SZLYFmMZasGxoybWwey9ybLPunmZo2lxna7gz8/edit"",ROW(A23)+3686 &amp; ""!Z2"")"),17.0)</f>
        <v>17</v>
      </c>
      <c r="K23" s="29">
        <f>IFERROR(__xludf.DUMMYFUNCTION("IMPORTRANGE(""https://docs.google.com/spreadsheets/d/1u3kjep_Ay-rJA2uAkkFXuGH0h4mooEyUGnckMoeCfOs/edit"",ROW(A23)+3686 &amp; ""!Z2"")"),0.0)</f>
        <v>0</v>
      </c>
      <c r="L23" s="29">
        <f>IFERROR(__xludf.DUMMYFUNCTION("IMPORTRANGE(""https://docs.google.com/spreadsheets/d/1HTReQ1YdOqch3sGPwq1QL9QnAoK2TCkEH0Emcc83oYs/edit"",ROW(A23)+3686 &amp; ""!Z2"")"),0.0)</f>
        <v>0</v>
      </c>
      <c r="M23" s="29">
        <f>IFERROR(__xludf.DUMMYFUNCTION("IMPORTRANGE(""https://docs.google.com/spreadsheets/d/1hq2y4DlBv4QXLvBwR-9pvgxKcEYt7dtr1-jKlqdvqhQ/edit"",ROW(A23)+3686 &amp; ""!Z2"")"),0.0)</f>
        <v>0</v>
      </c>
      <c r="N23" s="30"/>
      <c r="O23" s="31">
        <f t="shared" si="1"/>
        <v>25</v>
      </c>
      <c r="P23" s="5"/>
      <c r="Q23" s="5"/>
      <c r="R23" s="6"/>
      <c r="S23" s="5"/>
      <c r="T23" s="46"/>
      <c r="U23" s="47">
        <f t="shared" si="2"/>
        <v>231</v>
      </c>
      <c r="V23" s="5"/>
      <c r="W23" s="48">
        <v>127.0</v>
      </c>
      <c r="X23" s="49">
        <v>104.0</v>
      </c>
      <c r="Y23" s="55"/>
      <c r="Z23" s="7"/>
    </row>
    <row r="24">
      <c r="A24" s="40"/>
      <c r="B24" s="41">
        <v>6503710.0</v>
      </c>
      <c r="C24" s="51" t="s">
        <v>75</v>
      </c>
      <c r="D24" s="43" t="s">
        <v>29</v>
      </c>
      <c r="E24" s="52" t="s">
        <v>76</v>
      </c>
      <c r="F24" s="27">
        <f>IFERROR(__xludf.DUMMYFUNCTION("IMPORTRANGE(""https://docs.google.com/spreadsheets/d/1PfPfEwC5dEUihreebI-m2li0jy93An_sgb4FoUuUS0A/edit"",ROW(A24)+3686 &amp; ""!Z2"")
"),0.0)</f>
        <v>0</v>
      </c>
      <c r="G24" s="28">
        <f>IFERROR(__xludf.DUMMYFUNCTION("IMPORTRANGE(""https://docs.google.com/spreadsheets/d/1Nbblj-B70vD9i5jtbyRScyGBXpK_G1dtuDsnJIkMMCA/edit"",ROW(A24)+3686 &amp; ""!Z2"")"),6.0)</f>
        <v>6</v>
      </c>
      <c r="H24" s="29">
        <f>IFERROR(__xludf.DUMMYFUNCTION("IMPORTRANGE(""https://docs.google.com/spreadsheets/d/1jC_PCDgJE2oAmRjwPebkLo_nuqmEUnzBZXpPeH3akQo/edit"",ROW(A24)+3686 &amp; ""!Z2"")"),0.0)</f>
        <v>0</v>
      </c>
      <c r="I24" s="29">
        <f>IFERROR(__xludf.DUMMYFUNCTION("IMPORTRANGE(""https://docs.google.com/spreadsheets/d/1-sYqmNw9LxKJwVmpiSlNiOxHtcQzJNN_Zm5ZWpdvWxc/edit"",ROW(A24)+3686 &amp; ""!Z2"")"),0.0)</f>
        <v>0</v>
      </c>
      <c r="J24" s="29">
        <f>IFERROR(__xludf.DUMMYFUNCTION("IMPORTRANGE(""https://docs.google.com/spreadsheets/d/1ByAR-SZLYFmMZasGxoybWwey9ybLPunmZo2lxna7gz8/edit"",ROW(A24)+3686 &amp; ""!Z2"")"),10.0)</f>
        <v>10</v>
      </c>
      <c r="K24" s="29">
        <f>IFERROR(__xludf.DUMMYFUNCTION("IMPORTRANGE(""https://docs.google.com/spreadsheets/d/1u3kjep_Ay-rJA2uAkkFXuGH0h4mooEyUGnckMoeCfOs/edit"",ROW(A24)+3686 &amp; ""!Z2"")"),8.0)</f>
        <v>8</v>
      </c>
      <c r="L24" s="29">
        <f>IFERROR(__xludf.DUMMYFUNCTION("IMPORTRANGE(""https://docs.google.com/spreadsheets/d/1HTReQ1YdOqch3sGPwq1QL9QnAoK2TCkEH0Emcc83oYs/edit"",ROW(A24)+3686 &amp; ""!Z2"")"),8.0)</f>
        <v>8</v>
      </c>
      <c r="M24" s="29">
        <f>IFERROR(__xludf.DUMMYFUNCTION("IMPORTRANGE(""https://docs.google.com/spreadsheets/d/1hq2y4DlBv4QXLvBwR-9pvgxKcEYt7dtr1-jKlqdvqhQ/edit"",ROW(A24)+3686 &amp; ""!Z2"")"),8.0)</f>
        <v>8</v>
      </c>
      <c r="N24" s="30"/>
      <c r="O24" s="31">
        <f t="shared" si="1"/>
        <v>40</v>
      </c>
      <c r="P24" s="5"/>
      <c r="Q24" s="5"/>
      <c r="R24" s="6"/>
      <c r="S24" s="5"/>
      <c r="T24" s="46"/>
      <c r="U24" s="47">
        <f t="shared" si="2"/>
        <v>238</v>
      </c>
      <c r="V24" s="5"/>
      <c r="W24" s="48">
        <v>131.0</v>
      </c>
      <c r="X24" s="49">
        <v>107.0</v>
      </c>
      <c r="Y24" s="55"/>
      <c r="Z24" s="7"/>
    </row>
    <row r="25">
      <c r="A25" s="40"/>
      <c r="B25" s="41">
        <v>6503711.0</v>
      </c>
      <c r="C25" s="51" t="s">
        <v>77</v>
      </c>
      <c r="D25" s="43" t="s">
        <v>29</v>
      </c>
      <c r="E25" s="52" t="s">
        <v>78</v>
      </c>
      <c r="F25" s="27">
        <f>IFERROR(__xludf.DUMMYFUNCTION("IMPORTRANGE(""https://docs.google.com/spreadsheets/d/1PfPfEwC5dEUihreebI-m2li0jy93An_sgb4FoUuUS0A/edit"",ROW(A25)+3686 &amp; ""!Z2"")
"),0.0)</f>
        <v>0</v>
      </c>
      <c r="G25" s="28">
        <f>IFERROR(__xludf.DUMMYFUNCTION("IMPORTRANGE(""https://docs.google.com/spreadsheets/d/1Nbblj-B70vD9i5jtbyRScyGBXpK_G1dtuDsnJIkMMCA/edit"",ROW(A25)+3686 &amp; ""!Z2"")"),0.0)</f>
        <v>0</v>
      </c>
      <c r="H25" s="29">
        <f>IFERROR(__xludf.DUMMYFUNCTION("IMPORTRANGE(""https://docs.google.com/spreadsheets/d/1jC_PCDgJE2oAmRjwPebkLo_nuqmEUnzBZXpPeH3akQo/edit"",ROW(A25)+3686 &amp; ""!Z2"")"),5.0)</f>
        <v>5</v>
      </c>
      <c r="I25" s="29">
        <f>IFERROR(__xludf.DUMMYFUNCTION("IMPORTRANGE(""https://docs.google.com/spreadsheets/d/1-sYqmNw9LxKJwVmpiSlNiOxHtcQzJNN_Zm5ZWpdvWxc/edit"",ROW(A25)+3686 &amp; ""!Z2"")"),0.0)</f>
        <v>0</v>
      </c>
      <c r="J25" s="29">
        <f>IFERROR(__xludf.DUMMYFUNCTION("IMPORTRANGE(""https://docs.google.com/spreadsheets/d/1ByAR-SZLYFmMZasGxoybWwey9ybLPunmZo2lxna7gz8/edit"",ROW(A25)+3686 &amp; ""!Z2"")"),18.0)</f>
        <v>18</v>
      </c>
      <c r="K25" s="29">
        <f>IFERROR(__xludf.DUMMYFUNCTION("IMPORTRANGE(""https://docs.google.com/spreadsheets/d/1u3kjep_Ay-rJA2uAkkFXuGH0h4mooEyUGnckMoeCfOs/edit"",ROW(A25)+3686 &amp; ""!Z2"")"),6.0)</f>
        <v>6</v>
      </c>
      <c r="L25" s="29">
        <f>IFERROR(__xludf.DUMMYFUNCTION("IMPORTRANGE(""https://docs.google.com/spreadsheets/d/1HTReQ1YdOqch3sGPwq1QL9QnAoK2TCkEH0Emcc83oYs/edit"",ROW(A25)+3686 &amp; ""!Z2"")"),0.0)</f>
        <v>0</v>
      </c>
      <c r="M25" s="29">
        <f>IFERROR(__xludf.DUMMYFUNCTION("IMPORTRANGE(""https://docs.google.com/spreadsheets/d/1hq2y4DlBv4QXLvBwR-9pvgxKcEYt7dtr1-jKlqdvqhQ/edit"",ROW(A25)+3686 &amp; ""!Z2"")"),0.0)</f>
        <v>0</v>
      </c>
      <c r="N25" s="30"/>
      <c r="O25" s="31">
        <f t="shared" si="1"/>
        <v>29</v>
      </c>
      <c r="P25" s="5"/>
      <c r="Q25" s="5"/>
      <c r="R25" s="6"/>
      <c r="S25" s="5"/>
      <c r="T25" s="46"/>
      <c r="U25" s="47">
        <f t="shared" si="2"/>
        <v>242</v>
      </c>
      <c r="V25" s="5"/>
      <c r="W25" s="48">
        <v>131.0</v>
      </c>
      <c r="X25" s="49">
        <v>111.0</v>
      </c>
      <c r="Y25" s="55"/>
      <c r="Z25" s="7"/>
    </row>
    <row r="26">
      <c r="A26" s="40"/>
      <c r="B26" s="41">
        <v>6503712.0</v>
      </c>
      <c r="C26" s="51" t="s">
        <v>79</v>
      </c>
      <c r="D26" s="43" t="s">
        <v>29</v>
      </c>
      <c r="E26" s="52" t="s">
        <v>80</v>
      </c>
      <c r="F26" s="27">
        <f>IFERROR(__xludf.DUMMYFUNCTION("IMPORTRANGE(""https://docs.google.com/spreadsheets/d/1PfPfEwC5dEUihreebI-m2li0jy93An_sgb4FoUuUS0A/edit"",ROW(A26)+3686 &amp; ""!Z2"")
"),0.0)</f>
        <v>0</v>
      </c>
      <c r="G26" s="28">
        <f>IFERROR(__xludf.DUMMYFUNCTION("IMPORTRANGE(""https://docs.google.com/spreadsheets/d/1Nbblj-B70vD9i5jtbyRScyGBXpK_G1dtuDsnJIkMMCA/edit"",ROW(A26)+3686 &amp; ""!Z2"")"),6.0)</f>
        <v>6</v>
      </c>
      <c r="H26" s="29">
        <f>IFERROR(__xludf.DUMMYFUNCTION("IMPORTRANGE(""https://docs.google.com/spreadsheets/d/1jC_PCDgJE2oAmRjwPebkLo_nuqmEUnzBZXpPeH3akQo/edit"",ROW(A26)+3686 &amp; ""!Z2"")"),0.0)</f>
        <v>0</v>
      </c>
      <c r="I26" s="29">
        <f>IFERROR(__xludf.DUMMYFUNCTION("IMPORTRANGE(""https://docs.google.com/spreadsheets/d/1-sYqmNw9LxKJwVmpiSlNiOxHtcQzJNN_Zm5ZWpdvWxc/edit"",ROW(A26)+3686 &amp; ""!Z2"")"),0.0)</f>
        <v>0</v>
      </c>
      <c r="J26" s="29">
        <f>IFERROR(__xludf.DUMMYFUNCTION("IMPORTRANGE(""https://docs.google.com/spreadsheets/d/1ByAR-SZLYFmMZasGxoybWwey9ybLPunmZo2lxna7gz8/edit"",ROW(A26)+3686 &amp; ""!Z2"")"),0.0)</f>
        <v>0</v>
      </c>
      <c r="K26" s="29">
        <f>IFERROR(__xludf.DUMMYFUNCTION("IMPORTRANGE(""https://docs.google.com/spreadsheets/d/1u3kjep_Ay-rJA2uAkkFXuGH0h4mooEyUGnckMoeCfOs/edit"",ROW(A26)+3686 &amp; ""!Z2"")"),0.0)</f>
        <v>0</v>
      </c>
      <c r="L26" s="29">
        <f>IFERROR(__xludf.DUMMYFUNCTION("IMPORTRANGE(""https://docs.google.com/spreadsheets/d/1HTReQ1YdOqch3sGPwq1QL9QnAoK2TCkEH0Emcc83oYs/edit"",ROW(A26)+3686 &amp; ""!Z2"")"),0.0)</f>
        <v>0</v>
      </c>
      <c r="M26" s="29">
        <f>IFERROR(__xludf.DUMMYFUNCTION("IMPORTRANGE(""https://docs.google.com/spreadsheets/d/1hq2y4DlBv4QXLvBwR-9pvgxKcEYt7dtr1-jKlqdvqhQ/edit"",ROW(A26)+3686 &amp; ""!Z2"")"),0.0)</f>
        <v>0</v>
      </c>
      <c r="N26" s="30">
        <v>20.0</v>
      </c>
      <c r="O26" s="31">
        <f t="shared" si="1"/>
        <v>26</v>
      </c>
      <c r="P26" s="44" t="s">
        <v>34</v>
      </c>
      <c r="Q26" s="5"/>
      <c r="R26" s="6"/>
      <c r="S26" s="57">
        <v>20.0</v>
      </c>
      <c r="T26" s="46"/>
      <c r="U26" s="47">
        <f t="shared" si="2"/>
        <v>218</v>
      </c>
      <c r="V26" s="5"/>
      <c r="W26" s="48">
        <v>121.0</v>
      </c>
      <c r="X26" s="49">
        <v>97.0</v>
      </c>
      <c r="Y26" s="55"/>
      <c r="Z26" s="7"/>
    </row>
    <row r="27">
      <c r="A27" s="40"/>
      <c r="B27" s="41">
        <v>6503713.0</v>
      </c>
      <c r="C27" s="51" t="s">
        <v>81</v>
      </c>
      <c r="D27" s="43" t="s">
        <v>29</v>
      </c>
      <c r="E27" s="52" t="s">
        <v>82</v>
      </c>
      <c r="F27" s="27">
        <f>IFERROR(__xludf.DUMMYFUNCTION("IMPORTRANGE(""https://docs.google.com/spreadsheets/d/1PfPfEwC5dEUihreebI-m2li0jy93An_sgb4FoUuUS0A/edit"",ROW(A27)+3686 &amp; ""!Z2"")
"),8.0)</f>
        <v>8</v>
      </c>
      <c r="G27" s="28">
        <f>IFERROR(__xludf.DUMMYFUNCTION("IMPORTRANGE(""https://docs.google.com/spreadsheets/d/1Nbblj-B70vD9i5jtbyRScyGBXpK_G1dtuDsnJIkMMCA/edit"",ROW(A27)+3686 &amp; ""!Z2"")"),6.0)</f>
        <v>6</v>
      </c>
      <c r="H27" s="29">
        <f>IFERROR(__xludf.DUMMYFUNCTION("IMPORTRANGE(""https://docs.google.com/spreadsheets/d/1jC_PCDgJE2oAmRjwPebkLo_nuqmEUnzBZXpPeH3akQo/edit"",ROW(A27)+3686 &amp; ""!Z2"")"),0.0)</f>
        <v>0</v>
      </c>
      <c r="I27" s="29">
        <f>IFERROR(__xludf.DUMMYFUNCTION("IMPORTRANGE(""https://docs.google.com/spreadsheets/d/1-sYqmNw9LxKJwVmpiSlNiOxHtcQzJNN_Zm5ZWpdvWxc/edit"",ROW(A27)+3686 &amp; ""!Z2"")"),0.0)</f>
        <v>0</v>
      </c>
      <c r="J27" s="29">
        <f>IFERROR(__xludf.DUMMYFUNCTION("IMPORTRANGE(""https://docs.google.com/spreadsheets/d/1ByAR-SZLYFmMZasGxoybWwey9ybLPunmZo2lxna7gz8/edit"",ROW(A27)+3686 &amp; ""!Z2"")"),4.0)</f>
        <v>4</v>
      </c>
      <c r="K27" s="29">
        <f>IFERROR(__xludf.DUMMYFUNCTION("IMPORTRANGE(""https://docs.google.com/spreadsheets/d/1u3kjep_Ay-rJA2uAkkFXuGH0h4mooEyUGnckMoeCfOs/edit"",ROW(A27)+3686 &amp; ""!Z2"")"),8.0)</f>
        <v>8</v>
      </c>
      <c r="L27" s="29">
        <f>IFERROR(__xludf.DUMMYFUNCTION("IMPORTRANGE(""https://docs.google.com/spreadsheets/d/1HTReQ1YdOqch3sGPwq1QL9QnAoK2TCkEH0Emcc83oYs/edit"",ROW(A27)+3686 &amp; ""!Z2"")"),1.0)</f>
        <v>1</v>
      </c>
      <c r="M27" s="29">
        <f>IFERROR(__xludf.DUMMYFUNCTION("IMPORTRANGE(""https://docs.google.com/spreadsheets/d/1hq2y4DlBv4QXLvBwR-9pvgxKcEYt7dtr1-jKlqdvqhQ/edit"",ROW(A27)+3686 &amp; ""!Z2"")"),1.0)</f>
        <v>1</v>
      </c>
      <c r="N27" s="30"/>
      <c r="O27" s="31">
        <f t="shared" si="1"/>
        <v>28</v>
      </c>
      <c r="P27" s="5"/>
      <c r="Q27" s="5"/>
      <c r="R27" s="6"/>
      <c r="S27" s="5"/>
      <c r="T27" s="46"/>
      <c r="U27" s="47">
        <f t="shared" si="2"/>
        <v>212</v>
      </c>
      <c r="V27" s="5"/>
      <c r="W27" s="48">
        <v>114.0</v>
      </c>
      <c r="X27" s="49">
        <v>98.0</v>
      </c>
      <c r="Y27" s="55"/>
      <c r="Z27" s="7"/>
    </row>
    <row r="28">
      <c r="A28" s="40"/>
      <c r="B28" s="41">
        <v>6503714.0</v>
      </c>
      <c r="C28" s="51" t="s">
        <v>83</v>
      </c>
      <c r="D28" s="43" t="s">
        <v>29</v>
      </c>
      <c r="E28" s="52" t="s">
        <v>84</v>
      </c>
      <c r="F28" s="27">
        <f>IFERROR(__xludf.DUMMYFUNCTION("IMPORTRANGE(""https://docs.google.com/spreadsheets/d/1PfPfEwC5dEUihreebI-m2li0jy93An_sgb4FoUuUS0A/edit"",ROW(A28)+3686 &amp; ""!Z2"")
"),0.0)</f>
        <v>0</v>
      </c>
      <c r="G28" s="28">
        <f>IFERROR(__xludf.DUMMYFUNCTION("IMPORTRANGE(""https://docs.google.com/spreadsheets/d/1Nbblj-B70vD9i5jtbyRScyGBXpK_G1dtuDsnJIkMMCA/edit"",ROW(A28)+3686 &amp; ""!Z2"")"),6.0)</f>
        <v>6</v>
      </c>
      <c r="H28" s="29">
        <f>IFERROR(__xludf.DUMMYFUNCTION("IMPORTRANGE(""https://docs.google.com/spreadsheets/d/1jC_PCDgJE2oAmRjwPebkLo_nuqmEUnzBZXpPeH3akQo/edit"",ROW(A28)+3686 &amp; ""!Z2"")"),0.0)</f>
        <v>0</v>
      </c>
      <c r="I28" s="29">
        <f>IFERROR(__xludf.DUMMYFUNCTION("IMPORTRANGE(""https://docs.google.com/spreadsheets/d/1-sYqmNw9LxKJwVmpiSlNiOxHtcQzJNN_Zm5ZWpdvWxc/edit"",ROW(A28)+3686 &amp; ""!Z2"")"),0.0)</f>
        <v>0</v>
      </c>
      <c r="J28" s="29">
        <f>IFERROR(__xludf.DUMMYFUNCTION("IMPORTRANGE(""https://docs.google.com/spreadsheets/d/1ByAR-SZLYFmMZasGxoybWwey9ybLPunmZo2lxna7gz8/edit"",ROW(A28)+3686 &amp; ""!Z2"")"),0.0)</f>
        <v>0</v>
      </c>
      <c r="K28" s="29">
        <f>IFERROR(__xludf.DUMMYFUNCTION("IMPORTRANGE(""https://docs.google.com/spreadsheets/d/1u3kjep_Ay-rJA2uAkkFXuGH0h4mooEyUGnckMoeCfOs/edit"",ROW(A28)+3686 &amp; ""!Z2"")"),8.0)</f>
        <v>8</v>
      </c>
      <c r="L28" s="29">
        <f>IFERROR(__xludf.DUMMYFUNCTION("IMPORTRANGE(""https://docs.google.com/spreadsheets/d/1HTReQ1YdOqch3sGPwq1QL9QnAoK2TCkEH0Emcc83oYs/edit"",ROW(A28)+3686 &amp; ""!Z2"")"),0.0)</f>
        <v>0</v>
      </c>
      <c r="M28" s="29">
        <f>IFERROR(__xludf.DUMMYFUNCTION("IMPORTRANGE(""https://docs.google.com/spreadsheets/d/1hq2y4DlBv4QXLvBwR-9pvgxKcEYt7dtr1-jKlqdvqhQ/edit"",ROW(A28)+3686 &amp; ""!Z2"")"),0.0)</f>
        <v>0</v>
      </c>
      <c r="N28" s="30">
        <v>20.0</v>
      </c>
      <c r="O28" s="31">
        <f t="shared" si="1"/>
        <v>34</v>
      </c>
      <c r="P28" s="44" t="s">
        <v>47</v>
      </c>
      <c r="Q28" s="5"/>
      <c r="R28" s="6"/>
      <c r="S28" s="57">
        <v>20.0</v>
      </c>
      <c r="T28" s="46"/>
      <c r="U28" s="47">
        <f t="shared" si="2"/>
        <v>214</v>
      </c>
      <c r="V28" s="5"/>
      <c r="W28" s="48">
        <v>119.0</v>
      </c>
      <c r="X28" s="49">
        <v>95.0</v>
      </c>
      <c r="Y28" s="55"/>
      <c r="Z28" s="7"/>
    </row>
    <row r="29">
      <c r="A29" s="40"/>
      <c r="B29" s="41">
        <v>6503715.0</v>
      </c>
      <c r="C29" s="51" t="s">
        <v>85</v>
      </c>
      <c r="D29" s="43" t="s">
        <v>29</v>
      </c>
      <c r="E29" s="52" t="s">
        <v>86</v>
      </c>
      <c r="F29" s="27">
        <f>IFERROR(__xludf.DUMMYFUNCTION("IMPORTRANGE(""https://docs.google.com/spreadsheets/d/1PfPfEwC5dEUihreebI-m2li0jy93An_sgb4FoUuUS0A/edit"",ROW(A29)+3686 &amp; ""!Z2"")
"),8.0)</f>
        <v>8</v>
      </c>
      <c r="G29" s="28">
        <f>IFERROR(__xludf.DUMMYFUNCTION("IMPORTRANGE(""https://docs.google.com/spreadsheets/d/1Nbblj-B70vD9i5jtbyRScyGBXpK_G1dtuDsnJIkMMCA/edit"",ROW(A29)+3686 &amp; ""!Z2"")"),12.0)</f>
        <v>12</v>
      </c>
      <c r="H29" s="29">
        <f>IFERROR(__xludf.DUMMYFUNCTION("IMPORTRANGE(""https://docs.google.com/spreadsheets/d/1jC_PCDgJE2oAmRjwPebkLo_nuqmEUnzBZXpPeH3akQo/edit"",ROW(A29)+3686 &amp; ""!Z2"")"),0.0)</f>
        <v>0</v>
      </c>
      <c r="I29" s="29">
        <f>IFERROR(__xludf.DUMMYFUNCTION("IMPORTRANGE(""https://docs.google.com/spreadsheets/d/1-sYqmNw9LxKJwVmpiSlNiOxHtcQzJNN_Zm5ZWpdvWxc/edit"",ROW(A29)+3686 &amp; ""!Z2"")"),0.0)</f>
        <v>0</v>
      </c>
      <c r="J29" s="29">
        <f>IFERROR(__xludf.DUMMYFUNCTION("IMPORTRANGE(""https://docs.google.com/spreadsheets/d/1ByAR-SZLYFmMZasGxoybWwey9ybLPunmZo2lxna7gz8/edit"",ROW(A29)+3686 &amp; ""!Z2"")"),0.0)</f>
        <v>0</v>
      </c>
      <c r="K29" s="29">
        <f>IFERROR(__xludf.DUMMYFUNCTION("IMPORTRANGE(""https://docs.google.com/spreadsheets/d/1u3kjep_Ay-rJA2uAkkFXuGH0h4mooEyUGnckMoeCfOs/edit"",ROW(A29)+3686 &amp; ""!Z2"")"),7.0)</f>
        <v>7</v>
      </c>
      <c r="L29" s="29">
        <f>IFERROR(__xludf.DUMMYFUNCTION("IMPORTRANGE(""https://docs.google.com/spreadsheets/d/1HTReQ1YdOqch3sGPwq1QL9QnAoK2TCkEH0Emcc83oYs/edit"",ROW(A29)+3686 &amp; ""!Z2"")"),0.0)</f>
        <v>0</v>
      </c>
      <c r="M29" s="29">
        <f>IFERROR(__xludf.DUMMYFUNCTION("IMPORTRANGE(""https://docs.google.com/spreadsheets/d/1hq2y4DlBv4QXLvBwR-9pvgxKcEYt7dtr1-jKlqdvqhQ/edit"",ROW(A29)+3686 &amp; ""!Z2"")"),0.0)</f>
        <v>0</v>
      </c>
      <c r="N29" s="30"/>
      <c r="O29" s="31">
        <f t="shared" si="1"/>
        <v>27</v>
      </c>
      <c r="P29" s="5"/>
      <c r="Q29" s="5"/>
      <c r="R29" s="6"/>
      <c r="S29" s="5"/>
      <c r="T29" s="46"/>
      <c r="U29" s="47">
        <f t="shared" si="2"/>
        <v>168</v>
      </c>
      <c r="V29" s="5"/>
      <c r="W29" s="48">
        <v>96.0</v>
      </c>
      <c r="X29" s="49">
        <v>72.0</v>
      </c>
      <c r="Y29" s="55"/>
      <c r="Z29" s="7"/>
    </row>
    <row r="30">
      <c r="A30" s="40"/>
      <c r="B30" s="41">
        <v>6503716.0</v>
      </c>
      <c r="C30" s="51" t="s">
        <v>87</v>
      </c>
      <c r="D30" s="43" t="s">
        <v>29</v>
      </c>
      <c r="E30" s="52" t="s">
        <v>88</v>
      </c>
      <c r="F30" s="27">
        <f>IFERROR(__xludf.DUMMYFUNCTION("IMPORTRANGE(""https://docs.google.com/spreadsheets/d/1PfPfEwC5dEUihreebI-m2li0jy93An_sgb4FoUuUS0A/edit"",ROW(A30)+3686 &amp; ""!Z2"")
"),0.0)</f>
        <v>0</v>
      </c>
      <c r="G30" s="28">
        <f>IFERROR(__xludf.DUMMYFUNCTION("IMPORTRANGE(""https://docs.google.com/spreadsheets/d/1Nbblj-B70vD9i5jtbyRScyGBXpK_G1dtuDsnJIkMMCA/edit"",ROW(A30)+3686 &amp; ""!Z2"")"),6.0)</f>
        <v>6</v>
      </c>
      <c r="H30" s="29">
        <f>IFERROR(__xludf.DUMMYFUNCTION("IMPORTRANGE(""https://docs.google.com/spreadsheets/d/1jC_PCDgJE2oAmRjwPebkLo_nuqmEUnzBZXpPeH3akQo/edit"",ROW(A30)+3686 &amp; ""!Z2"")"),0.0)</f>
        <v>0</v>
      </c>
      <c r="I30" s="29">
        <f>IFERROR(__xludf.DUMMYFUNCTION("IMPORTRANGE(""https://docs.google.com/spreadsheets/d/1-sYqmNw9LxKJwVmpiSlNiOxHtcQzJNN_Zm5ZWpdvWxc/edit"",ROW(A30)+3686 &amp; ""!Z2"")"),0.0)</f>
        <v>0</v>
      </c>
      <c r="J30" s="29">
        <f>IFERROR(__xludf.DUMMYFUNCTION("IMPORTRANGE(""https://docs.google.com/spreadsheets/d/1ByAR-SZLYFmMZasGxoybWwey9ybLPunmZo2lxna7gz8/edit"",ROW(A30)+3686 &amp; ""!Z2"")"),18.0)</f>
        <v>18</v>
      </c>
      <c r="K30" s="29">
        <f>IFERROR(__xludf.DUMMYFUNCTION("IMPORTRANGE(""https://docs.google.com/spreadsheets/d/1u3kjep_Ay-rJA2uAkkFXuGH0h4mooEyUGnckMoeCfOs/edit"",ROW(A30)+3686 &amp; ""!Z2"")"),0.0)</f>
        <v>0</v>
      </c>
      <c r="L30" s="29">
        <f>IFERROR(__xludf.DUMMYFUNCTION("IMPORTRANGE(""https://docs.google.com/spreadsheets/d/1HTReQ1YdOqch3sGPwq1QL9QnAoK2TCkEH0Emcc83oYs/edit"",ROW(A30)+3686 &amp; ""!Z2"")"),0.0)</f>
        <v>0</v>
      </c>
      <c r="M30" s="29">
        <f>IFERROR(__xludf.DUMMYFUNCTION("IMPORTRANGE(""https://docs.google.com/spreadsheets/d/1hq2y4DlBv4QXLvBwR-9pvgxKcEYt7dtr1-jKlqdvqhQ/edit"",ROW(A30)+3686 &amp; ""!Z2"")"),0.0)</f>
        <v>0</v>
      </c>
      <c r="N30" s="30">
        <v>20.0</v>
      </c>
      <c r="O30" s="31">
        <f t="shared" si="1"/>
        <v>44</v>
      </c>
      <c r="P30" s="44" t="s">
        <v>47</v>
      </c>
      <c r="Q30" s="5"/>
      <c r="R30" s="6"/>
      <c r="S30" s="57">
        <v>20.0</v>
      </c>
      <c r="T30" s="46"/>
      <c r="U30" s="47">
        <f t="shared" si="2"/>
        <v>226</v>
      </c>
      <c r="V30" s="5"/>
      <c r="W30" s="48">
        <v>125.0</v>
      </c>
      <c r="X30" s="49">
        <v>101.0</v>
      </c>
      <c r="Y30" s="55"/>
      <c r="Z30" s="7"/>
    </row>
    <row r="31">
      <c r="A31" s="40"/>
      <c r="B31" s="41">
        <v>6503717.0</v>
      </c>
      <c r="C31" s="58" t="s">
        <v>89</v>
      </c>
      <c r="D31" s="43" t="s">
        <v>32</v>
      </c>
      <c r="E31" s="52" t="s">
        <v>90</v>
      </c>
      <c r="F31" s="27">
        <f>IFERROR(__xludf.DUMMYFUNCTION("IMPORTRANGE(""https://docs.google.com/spreadsheets/d/1PfPfEwC5dEUihreebI-m2li0jy93An_sgb4FoUuUS0A/edit"",ROW(A31)+3686 &amp; ""!Z2"")
"),0.0)</f>
        <v>0</v>
      </c>
      <c r="G31" s="28">
        <f>IFERROR(__xludf.DUMMYFUNCTION("IMPORTRANGE(""https://docs.google.com/spreadsheets/d/1Nbblj-B70vD9i5jtbyRScyGBXpK_G1dtuDsnJIkMMCA/edit"",ROW(A31)+3686 &amp; ""!Z2"")"),4.0)</f>
        <v>4</v>
      </c>
      <c r="H31" s="29">
        <f>IFERROR(__xludf.DUMMYFUNCTION("IMPORTRANGE(""https://docs.google.com/spreadsheets/d/1jC_PCDgJE2oAmRjwPebkLo_nuqmEUnzBZXpPeH3akQo/edit"",ROW(A31)+3686 &amp; ""!Z2"")"),0.0)</f>
        <v>0</v>
      </c>
      <c r="I31" s="29">
        <f>IFERROR(__xludf.DUMMYFUNCTION("IMPORTRANGE(""https://docs.google.com/spreadsheets/d/1-sYqmNw9LxKJwVmpiSlNiOxHtcQzJNN_Zm5ZWpdvWxc/edit"",ROW(A31)+3686 &amp; ""!Z2"")"),0.0)</f>
        <v>0</v>
      </c>
      <c r="J31" s="29">
        <f>IFERROR(__xludf.DUMMYFUNCTION("IMPORTRANGE(""https://docs.google.com/spreadsheets/d/1ByAR-SZLYFmMZasGxoybWwey9ybLPunmZo2lxna7gz8/edit"",ROW(A31)+3686 &amp; ""!Z2"")"),0.0)</f>
        <v>0</v>
      </c>
      <c r="K31" s="29">
        <f>IFERROR(__xludf.DUMMYFUNCTION("IMPORTRANGE(""https://docs.google.com/spreadsheets/d/1u3kjep_Ay-rJA2uAkkFXuGH0h4mooEyUGnckMoeCfOs/edit"",ROW(A31)+3686 &amp; ""!Z2"")"),12.0)</f>
        <v>12</v>
      </c>
      <c r="L31" s="29">
        <f>IFERROR(__xludf.DUMMYFUNCTION("IMPORTRANGE(""https://docs.google.com/spreadsheets/d/1HTReQ1YdOqch3sGPwq1QL9QnAoK2TCkEH0Emcc83oYs/edit"",ROW(A31)+3686 &amp; ""!Z2"")"),0.0)</f>
        <v>0</v>
      </c>
      <c r="M31" s="29">
        <f>IFERROR(__xludf.DUMMYFUNCTION("IMPORTRANGE(""https://docs.google.com/spreadsheets/d/1hq2y4DlBv4QXLvBwR-9pvgxKcEYt7dtr1-jKlqdvqhQ/edit"",ROW(A31)+3686 &amp; ""!Z2"")"),0.0)</f>
        <v>0</v>
      </c>
      <c r="N31" s="30">
        <v>20.0</v>
      </c>
      <c r="O31" s="31">
        <f t="shared" si="1"/>
        <v>36</v>
      </c>
      <c r="P31" s="59" t="s">
        <v>91</v>
      </c>
      <c r="Q31" s="5"/>
      <c r="R31" s="6"/>
      <c r="S31" s="57">
        <v>20.0</v>
      </c>
      <c r="T31" s="46"/>
      <c r="U31" s="47">
        <f t="shared" si="2"/>
        <v>228</v>
      </c>
      <c r="V31" s="5"/>
      <c r="W31" s="48">
        <v>107.0</v>
      </c>
      <c r="X31" s="49">
        <v>121.0</v>
      </c>
      <c r="Y31" s="55"/>
      <c r="Z31" s="7"/>
    </row>
    <row r="32">
      <c r="A32" s="40"/>
      <c r="B32" s="41">
        <v>6503718.0</v>
      </c>
      <c r="C32" s="51" t="s">
        <v>92</v>
      </c>
      <c r="D32" s="43" t="s">
        <v>29</v>
      </c>
      <c r="E32" s="52" t="s">
        <v>93</v>
      </c>
      <c r="F32" s="27">
        <f>IFERROR(__xludf.DUMMYFUNCTION("IMPORTRANGE(""https://docs.google.com/spreadsheets/d/1PfPfEwC5dEUihreebI-m2li0jy93An_sgb4FoUuUS0A/edit"",ROW(A32)+3686 &amp; ""!Z2"")
"),0.0)</f>
        <v>0</v>
      </c>
      <c r="G32" s="28">
        <f>IFERROR(__xludf.DUMMYFUNCTION("IMPORTRANGE(""https://docs.google.com/spreadsheets/d/1Nbblj-B70vD9i5jtbyRScyGBXpK_G1dtuDsnJIkMMCA/edit"",ROW(A32)+3686 &amp; ""!Z2"")"),6.0)</f>
        <v>6</v>
      </c>
      <c r="H32" s="29">
        <f>IFERROR(__xludf.DUMMYFUNCTION("IMPORTRANGE(""https://docs.google.com/spreadsheets/d/1jC_PCDgJE2oAmRjwPebkLo_nuqmEUnzBZXpPeH3akQo/edit"",ROW(A32)+3686 &amp; ""!Z2"")"),0.0)</f>
        <v>0</v>
      </c>
      <c r="I32" s="29">
        <f>IFERROR(__xludf.DUMMYFUNCTION("IMPORTRANGE(""https://docs.google.com/spreadsheets/d/1-sYqmNw9LxKJwVmpiSlNiOxHtcQzJNN_Zm5ZWpdvWxc/edit"",ROW(A32)+3686 &amp; ""!Z2"")"),0.0)</f>
        <v>0</v>
      </c>
      <c r="J32" s="29">
        <f>IFERROR(__xludf.DUMMYFUNCTION("IMPORTRANGE(""https://docs.google.com/spreadsheets/d/1ByAR-SZLYFmMZasGxoybWwey9ybLPunmZo2lxna7gz8/edit"",ROW(A32)+3686 &amp; ""!Z2"")"),14.0)</f>
        <v>14</v>
      </c>
      <c r="K32" s="29">
        <f>IFERROR(__xludf.DUMMYFUNCTION("IMPORTRANGE(""https://docs.google.com/spreadsheets/d/1u3kjep_Ay-rJA2uAkkFXuGH0h4mooEyUGnckMoeCfOs/edit"",ROW(A32)+3686 &amp; ""!Z2"")"),0.0)</f>
        <v>0</v>
      </c>
      <c r="L32" s="29">
        <f>IFERROR(__xludf.DUMMYFUNCTION("IMPORTRANGE(""https://docs.google.com/spreadsheets/d/1HTReQ1YdOqch3sGPwq1QL9QnAoK2TCkEH0Emcc83oYs/edit"",ROW(A32)+3686 &amp; ""!Z2"")"),0.0)</f>
        <v>0</v>
      </c>
      <c r="M32" s="29">
        <f>IFERROR(__xludf.DUMMYFUNCTION("IMPORTRANGE(""https://docs.google.com/spreadsheets/d/1hq2y4DlBv4QXLvBwR-9pvgxKcEYt7dtr1-jKlqdvqhQ/edit"",ROW(A32)+3686 &amp; ""!Z2"")"),0.0)</f>
        <v>0</v>
      </c>
      <c r="N32" s="30">
        <v>20.0</v>
      </c>
      <c r="O32" s="31">
        <f t="shared" si="1"/>
        <v>40</v>
      </c>
      <c r="P32" s="44" t="s">
        <v>94</v>
      </c>
      <c r="Q32" s="5"/>
      <c r="R32" s="6"/>
      <c r="S32" s="57">
        <v>20.0</v>
      </c>
      <c r="T32" s="46"/>
      <c r="U32" s="47">
        <f t="shared" si="2"/>
        <v>200</v>
      </c>
      <c r="V32" s="5"/>
      <c r="W32" s="48">
        <v>117.0</v>
      </c>
      <c r="X32" s="49">
        <v>83.0</v>
      </c>
      <c r="Y32" s="55"/>
      <c r="Z32" s="7"/>
    </row>
    <row r="33">
      <c r="A33" s="40"/>
      <c r="B33" s="60">
        <v>6503719.0</v>
      </c>
      <c r="C33" s="61" t="s">
        <v>95</v>
      </c>
      <c r="D33" s="62" t="s">
        <v>29</v>
      </c>
      <c r="E33" s="63" t="s">
        <v>96</v>
      </c>
      <c r="F33" s="64">
        <f>IFERROR(__xludf.DUMMYFUNCTION("IMPORTRANGE(""https://docs.google.com/spreadsheets/d/1PfPfEwC5dEUihreebI-m2li0jy93An_sgb4FoUuUS0A/edit"",ROW(A33)+3686 &amp; ""!Z2"")
"),0.0)</f>
        <v>0</v>
      </c>
      <c r="G33" s="65">
        <f>IFERROR(__xludf.DUMMYFUNCTION("IMPORTRANGE(""https://docs.google.com/spreadsheets/d/1Nbblj-B70vD9i5jtbyRScyGBXpK_G1dtuDsnJIkMMCA/edit"",ROW(A33)+3686 &amp; ""!Z2"")"),0.0)</f>
        <v>0</v>
      </c>
      <c r="H33" s="66">
        <f>IFERROR(__xludf.DUMMYFUNCTION("IMPORTRANGE(""https://docs.google.com/spreadsheets/d/1jC_PCDgJE2oAmRjwPebkLo_nuqmEUnzBZXpPeH3akQo/edit"",ROW(A33)+3686 &amp; ""!Z2"")"),0.0)</f>
        <v>0</v>
      </c>
      <c r="I33" s="66">
        <f>IFERROR(__xludf.DUMMYFUNCTION("IMPORTRANGE(""https://docs.google.com/spreadsheets/d/1-sYqmNw9LxKJwVmpiSlNiOxHtcQzJNN_Zm5ZWpdvWxc/edit"",ROW(A33)+3686 &amp; ""!Z2"")"),0.0)</f>
        <v>0</v>
      </c>
      <c r="J33" s="66">
        <f>IFERROR(__xludf.DUMMYFUNCTION("IMPORTRANGE(""https://docs.google.com/spreadsheets/d/1ByAR-SZLYFmMZasGxoybWwey9ybLPunmZo2lxna7gz8/edit"",ROW(A33)+3686 &amp; ""!Z2"")"),0.0)</f>
        <v>0</v>
      </c>
      <c r="K33" s="66">
        <f>IFERROR(__xludf.DUMMYFUNCTION("IMPORTRANGE(""https://docs.google.com/spreadsheets/d/1u3kjep_Ay-rJA2uAkkFXuGH0h4mooEyUGnckMoeCfOs/edit"",ROW(A33)+3686 &amp; ""!Z2"")"),0.0)</f>
        <v>0</v>
      </c>
      <c r="L33" s="66">
        <f>IFERROR(__xludf.DUMMYFUNCTION("IMPORTRANGE(""https://docs.google.com/spreadsheets/d/1HTReQ1YdOqch3sGPwq1QL9QnAoK2TCkEH0Emcc83oYs/edit"",ROW(A33)+3686 &amp; ""!Z2"")"),0.0)</f>
        <v>0</v>
      </c>
      <c r="M33" s="66">
        <f>IFERROR(__xludf.DUMMYFUNCTION("IMPORTRANGE(""https://docs.google.com/spreadsheets/d/1hq2y4DlBv4QXLvBwR-9pvgxKcEYt7dtr1-jKlqdvqhQ/edit"",ROW(A33)+3686 &amp; ""!Z2"")"),0.0)</f>
        <v>0</v>
      </c>
      <c r="N33" s="67"/>
      <c r="O33" s="68">
        <f t="shared" si="1"/>
        <v>0</v>
      </c>
      <c r="P33" s="69"/>
      <c r="Q33" s="69"/>
      <c r="R33" s="70"/>
      <c r="S33" s="69"/>
      <c r="T33" s="71"/>
      <c r="U33" s="72">
        <f t="shared" si="2"/>
        <v>176</v>
      </c>
      <c r="V33" s="69"/>
      <c r="W33" s="73">
        <v>100.0</v>
      </c>
      <c r="X33" s="74">
        <v>76.0</v>
      </c>
      <c r="Y33" s="69"/>
      <c r="Z33" s="75"/>
    </row>
    <row r="34">
      <c r="A34" s="40"/>
      <c r="B34" s="41">
        <v>6503720.0</v>
      </c>
      <c r="C34" s="51" t="s">
        <v>97</v>
      </c>
      <c r="D34" s="43" t="s">
        <v>29</v>
      </c>
      <c r="E34" s="52" t="s">
        <v>98</v>
      </c>
      <c r="F34" s="27">
        <f>IFERROR(__xludf.DUMMYFUNCTION("IMPORTRANGE(""https://docs.google.com/spreadsheets/d/1PfPfEwC5dEUihreebI-m2li0jy93An_sgb4FoUuUS0A/edit"",ROW(A34)+3686 &amp; ""!Z2"")
"),0.0)</f>
        <v>0</v>
      </c>
      <c r="G34" s="28">
        <f>IFERROR(__xludf.DUMMYFUNCTION("IMPORTRANGE(""https://docs.google.com/spreadsheets/d/1Nbblj-B70vD9i5jtbyRScyGBXpK_G1dtuDsnJIkMMCA/edit"",ROW(A34)+3686 &amp; ""!Z2"")"),6.0)</f>
        <v>6</v>
      </c>
      <c r="H34" s="29">
        <f>IFERROR(__xludf.DUMMYFUNCTION("IMPORTRANGE(""https://docs.google.com/spreadsheets/d/1jC_PCDgJE2oAmRjwPebkLo_nuqmEUnzBZXpPeH3akQo/edit"",ROW(A34)+3686 &amp; ""!Z2"")"),0.0)</f>
        <v>0</v>
      </c>
      <c r="I34" s="29">
        <f>IFERROR(__xludf.DUMMYFUNCTION("IMPORTRANGE(""https://docs.google.com/spreadsheets/d/1-sYqmNw9LxKJwVmpiSlNiOxHtcQzJNN_Zm5ZWpdvWxc/edit"",ROW(A34)+3686 &amp; ""!Z2"")"),0.0)</f>
        <v>0</v>
      </c>
      <c r="J34" s="29">
        <f>IFERROR(__xludf.DUMMYFUNCTION("IMPORTRANGE(""https://docs.google.com/spreadsheets/d/1ByAR-SZLYFmMZasGxoybWwey9ybLPunmZo2lxna7gz8/edit"",ROW(A34)+3686 &amp; ""!Z2"")"),8.0)</f>
        <v>8</v>
      </c>
      <c r="K34" s="29">
        <f>IFERROR(__xludf.DUMMYFUNCTION("IMPORTRANGE(""https://docs.google.com/spreadsheets/d/1u3kjep_Ay-rJA2uAkkFXuGH0h4mooEyUGnckMoeCfOs/edit"",ROW(A34)+3686 &amp; ""!Z2"")"),12.0)</f>
        <v>12</v>
      </c>
      <c r="L34" s="29">
        <f>IFERROR(__xludf.DUMMYFUNCTION("IMPORTRANGE(""https://docs.google.com/spreadsheets/d/1HTReQ1YdOqch3sGPwq1QL9QnAoK2TCkEH0Emcc83oYs/edit"",ROW(A34)+3686 &amp; ""!Z2"")"),0.0)</f>
        <v>0</v>
      </c>
      <c r="M34" s="29">
        <f>IFERROR(__xludf.DUMMYFUNCTION("IMPORTRANGE(""https://docs.google.com/spreadsheets/d/1hq2y4DlBv4QXLvBwR-9pvgxKcEYt7dtr1-jKlqdvqhQ/edit"",ROW(A34)+3686 &amp; ""!Z2"")"),0.0)</f>
        <v>0</v>
      </c>
      <c r="N34" s="30"/>
      <c r="O34" s="31">
        <f t="shared" si="1"/>
        <v>26</v>
      </c>
      <c r="P34" s="5"/>
      <c r="Q34" s="5"/>
      <c r="R34" s="6"/>
      <c r="S34" s="5"/>
      <c r="T34" s="46"/>
      <c r="U34" s="47">
        <f t="shared" si="2"/>
        <v>242</v>
      </c>
      <c r="V34" s="5"/>
      <c r="W34" s="48">
        <v>137.0</v>
      </c>
      <c r="X34" s="49">
        <v>105.0</v>
      </c>
      <c r="Y34" s="55"/>
      <c r="Z34" s="7"/>
    </row>
    <row r="35">
      <c r="A35" s="40"/>
      <c r="B35" s="41">
        <v>6503721.0</v>
      </c>
      <c r="C35" s="51" t="s">
        <v>99</v>
      </c>
      <c r="D35" s="43" t="s">
        <v>29</v>
      </c>
      <c r="E35" s="52" t="s">
        <v>100</v>
      </c>
      <c r="F35" s="27">
        <f>IFERROR(__xludf.DUMMYFUNCTION("IMPORTRANGE(""https://docs.google.com/spreadsheets/d/1PfPfEwC5dEUihreebI-m2li0jy93An_sgb4FoUuUS0A/edit"",ROW(A35)+3686 &amp; ""!Z2"")
"),0.0)</f>
        <v>0</v>
      </c>
      <c r="G35" s="28">
        <f>IFERROR(__xludf.DUMMYFUNCTION("IMPORTRANGE(""https://docs.google.com/spreadsheets/d/1Nbblj-B70vD9i5jtbyRScyGBXpK_G1dtuDsnJIkMMCA/edit"",ROW(A35)+3686 &amp; ""!Z2"")"),0.0)</f>
        <v>0</v>
      </c>
      <c r="H35" s="29">
        <f>IFERROR(__xludf.DUMMYFUNCTION("IMPORTRANGE(""https://docs.google.com/spreadsheets/d/1jC_PCDgJE2oAmRjwPebkLo_nuqmEUnzBZXpPeH3akQo/edit"",ROW(A35)+3686 &amp; ""!Z2"")"),0.0)</f>
        <v>0</v>
      </c>
      <c r="I35" s="29">
        <f>IFERROR(__xludf.DUMMYFUNCTION("IMPORTRANGE(""https://docs.google.com/spreadsheets/d/1-sYqmNw9LxKJwVmpiSlNiOxHtcQzJNN_Zm5ZWpdvWxc/edit"",ROW(A35)+3686 &amp; ""!Z2"")"),0.0)</f>
        <v>0</v>
      </c>
      <c r="J35" s="29">
        <f>IFERROR(__xludf.DUMMYFUNCTION("IMPORTRANGE(""https://docs.google.com/spreadsheets/d/1ByAR-SZLYFmMZasGxoybWwey9ybLPunmZo2lxna7gz8/edit"",ROW(A35)+3686 &amp; ""!Z2"")"),11.0)</f>
        <v>11</v>
      </c>
      <c r="K35" s="29">
        <f>IFERROR(__xludf.DUMMYFUNCTION("IMPORTRANGE(""https://docs.google.com/spreadsheets/d/1u3kjep_Ay-rJA2uAkkFXuGH0h4mooEyUGnckMoeCfOs/edit"",ROW(A35)+3686 &amp; ""!Z2"")"),0.0)</f>
        <v>0</v>
      </c>
      <c r="L35" s="29">
        <f>IFERROR(__xludf.DUMMYFUNCTION("IMPORTRANGE(""https://docs.google.com/spreadsheets/d/1HTReQ1YdOqch3sGPwq1QL9QnAoK2TCkEH0Emcc83oYs/edit"",ROW(A35)+3686 &amp; ""!Z2"")"),0.0)</f>
        <v>0</v>
      </c>
      <c r="M35" s="29">
        <f>IFERROR(__xludf.DUMMYFUNCTION("IMPORTRANGE(""https://docs.google.com/spreadsheets/d/1hq2y4DlBv4QXLvBwR-9pvgxKcEYt7dtr1-jKlqdvqhQ/edit"",ROW(A35)+3686 &amp; ""!Z2"")"),0.0)</f>
        <v>0</v>
      </c>
      <c r="N35" s="30">
        <v>20.0</v>
      </c>
      <c r="O35" s="31">
        <f t="shared" si="1"/>
        <v>31</v>
      </c>
      <c r="P35" s="59" t="s">
        <v>101</v>
      </c>
      <c r="Q35" s="5"/>
      <c r="R35" s="6"/>
      <c r="S35" s="57">
        <v>20.0</v>
      </c>
      <c r="T35" s="46"/>
      <c r="U35" s="47">
        <f t="shared" si="2"/>
        <v>212</v>
      </c>
      <c r="V35" s="5"/>
      <c r="W35" s="48">
        <v>118.0</v>
      </c>
      <c r="X35" s="49">
        <v>94.0</v>
      </c>
      <c r="Y35" s="55"/>
      <c r="Z35" s="7"/>
    </row>
    <row r="36">
      <c r="A36" s="40"/>
      <c r="B36" s="41">
        <v>6503722.0</v>
      </c>
      <c r="C36" s="51" t="s">
        <v>102</v>
      </c>
      <c r="D36" s="43" t="s">
        <v>29</v>
      </c>
      <c r="E36" s="52" t="s">
        <v>103</v>
      </c>
      <c r="F36" s="27">
        <f>IFERROR(__xludf.DUMMYFUNCTION("IMPORTRANGE(""https://docs.google.com/spreadsheets/d/1PfPfEwC5dEUihreebI-m2li0jy93An_sgb4FoUuUS0A/edit"",ROW(A36)+3686 &amp; ""!Z2"")
"),0.0)</f>
        <v>0</v>
      </c>
      <c r="G36" s="28">
        <f>IFERROR(__xludf.DUMMYFUNCTION("IMPORTRANGE(""https://docs.google.com/spreadsheets/d/1Nbblj-B70vD9i5jtbyRScyGBXpK_G1dtuDsnJIkMMCA/edit"",ROW(A36)+3686 &amp; ""!Z2"")"),0.0)</f>
        <v>0</v>
      </c>
      <c r="H36" s="29">
        <f>IFERROR(__xludf.DUMMYFUNCTION("IMPORTRANGE(""https://docs.google.com/spreadsheets/d/1jC_PCDgJE2oAmRjwPebkLo_nuqmEUnzBZXpPeH3akQo/edit"",ROW(A36)+3686 &amp; ""!Z2"")"),0.0)</f>
        <v>0</v>
      </c>
      <c r="I36" s="29">
        <f>IFERROR(__xludf.DUMMYFUNCTION("IMPORTRANGE(""https://docs.google.com/spreadsheets/d/1-sYqmNw9LxKJwVmpiSlNiOxHtcQzJNN_Zm5ZWpdvWxc/edit"",ROW(A36)+3686 &amp; ""!Z2"")"),0.0)</f>
        <v>0</v>
      </c>
      <c r="J36" s="29">
        <f>IFERROR(__xludf.DUMMYFUNCTION("IMPORTRANGE(""https://docs.google.com/spreadsheets/d/1ByAR-SZLYFmMZasGxoybWwey9ybLPunmZo2lxna7gz8/edit"",ROW(A36)+3686 &amp; ""!Z2"")"),14.0)</f>
        <v>14</v>
      </c>
      <c r="K36" s="29">
        <f>IFERROR(__xludf.DUMMYFUNCTION("IMPORTRANGE(""https://docs.google.com/spreadsheets/d/1u3kjep_Ay-rJA2uAkkFXuGH0h4mooEyUGnckMoeCfOs/edit"",ROW(A36)+3686 &amp; ""!Z2"")"),4.0)</f>
        <v>4</v>
      </c>
      <c r="L36" s="29">
        <f>IFERROR(__xludf.DUMMYFUNCTION("IMPORTRANGE(""https://docs.google.com/spreadsheets/d/1HTReQ1YdOqch3sGPwq1QL9QnAoK2TCkEH0Emcc83oYs/edit"",ROW(A36)+3686 &amp; ""!Z2"")"),4.0)</f>
        <v>4</v>
      </c>
      <c r="M36" s="29">
        <f>IFERROR(__xludf.DUMMYFUNCTION("IMPORTRANGE(""https://docs.google.com/spreadsheets/d/1hq2y4DlBv4QXLvBwR-9pvgxKcEYt7dtr1-jKlqdvqhQ/edit"",ROW(A36)+3686 &amp; ""!Z2"")"),4.0)</f>
        <v>4</v>
      </c>
      <c r="N36" s="30"/>
      <c r="O36" s="31">
        <f t="shared" si="1"/>
        <v>26</v>
      </c>
      <c r="P36" s="5"/>
      <c r="Q36" s="5"/>
      <c r="R36" s="6"/>
      <c r="S36" s="5"/>
      <c r="T36" s="46"/>
      <c r="U36" s="47">
        <f t="shared" si="2"/>
        <v>212</v>
      </c>
      <c r="V36" s="5"/>
      <c r="W36" s="48">
        <v>118.0</v>
      </c>
      <c r="X36" s="49">
        <v>94.0</v>
      </c>
      <c r="Y36" s="55"/>
      <c r="Z36" s="7"/>
    </row>
    <row r="37">
      <c r="A37" s="40"/>
      <c r="B37" s="41">
        <v>6503723.0</v>
      </c>
      <c r="C37" s="51" t="s">
        <v>104</v>
      </c>
      <c r="D37" s="43" t="s">
        <v>29</v>
      </c>
      <c r="E37" s="52" t="s">
        <v>105</v>
      </c>
      <c r="F37" s="27">
        <f>IFERROR(__xludf.DUMMYFUNCTION("IMPORTRANGE(""https://docs.google.com/spreadsheets/d/1PfPfEwC5dEUihreebI-m2li0jy93An_sgb4FoUuUS0A/edit"",ROW(A37)+3686 &amp; ""!Z2"")
"),0.0)</f>
        <v>0</v>
      </c>
      <c r="G37" s="28">
        <f>IFERROR(__xludf.DUMMYFUNCTION("IMPORTRANGE(""https://docs.google.com/spreadsheets/d/1Nbblj-B70vD9i5jtbyRScyGBXpK_G1dtuDsnJIkMMCA/edit"",ROW(A37)+3686 &amp; ""!Z2"")"),6.0)</f>
        <v>6</v>
      </c>
      <c r="H37" s="29">
        <f>IFERROR(__xludf.DUMMYFUNCTION("IMPORTRANGE(""https://docs.google.com/spreadsheets/d/1jC_PCDgJE2oAmRjwPebkLo_nuqmEUnzBZXpPeH3akQo/edit"",ROW(A37)+3686 &amp; ""!Z2"")"),0.0)</f>
        <v>0</v>
      </c>
      <c r="I37" s="29">
        <f>IFERROR(__xludf.DUMMYFUNCTION("IMPORTRANGE(""https://docs.google.com/spreadsheets/d/1-sYqmNw9LxKJwVmpiSlNiOxHtcQzJNN_Zm5ZWpdvWxc/edit"",ROW(A37)+3686 &amp; ""!Z2"")"),0.0)</f>
        <v>0</v>
      </c>
      <c r="J37" s="29">
        <f>IFERROR(__xludf.DUMMYFUNCTION("IMPORTRANGE(""https://docs.google.com/spreadsheets/d/1ByAR-SZLYFmMZasGxoybWwey9ybLPunmZo2lxna7gz8/edit"",ROW(A37)+3686 &amp; ""!Z2"")"),0.0)</f>
        <v>0</v>
      </c>
      <c r="K37" s="29">
        <f>IFERROR(__xludf.DUMMYFUNCTION("IMPORTRANGE(""https://docs.google.com/spreadsheets/d/1u3kjep_Ay-rJA2uAkkFXuGH0h4mooEyUGnckMoeCfOs/edit"",ROW(A37)+3686 &amp; ""!Z2"")"),0.0)</f>
        <v>0</v>
      </c>
      <c r="L37" s="29">
        <f>IFERROR(__xludf.DUMMYFUNCTION("IMPORTRANGE(""https://docs.google.com/spreadsheets/d/1HTReQ1YdOqch3sGPwq1QL9QnAoK2TCkEH0Emcc83oYs/edit"",ROW(A37)+3686 &amp; ""!Z2"")"),0.0)</f>
        <v>0</v>
      </c>
      <c r="M37" s="29">
        <f>IFERROR(__xludf.DUMMYFUNCTION("IMPORTRANGE(""https://docs.google.com/spreadsheets/d/1hq2y4DlBv4QXLvBwR-9pvgxKcEYt7dtr1-jKlqdvqhQ/edit"",ROW(A37)+3686 &amp; ""!Z2"")"),0.0)</f>
        <v>0</v>
      </c>
      <c r="N37" s="30">
        <v>20.0</v>
      </c>
      <c r="O37" s="31">
        <f t="shared" si="1"/>
        <v>26</v>
      </c>
      <c r="P37" s="53" t="s">
        <v>37</v>
      </c>
      <c r="Q37" s="5"/>
      <c r="R37" s="6"/>
      <c r="S37" s="5"/>
      <c r="T37" s="46"/>
      <c r="U37" s="47">
        <f t="shared" si="2"/>
        <v>184</v>
      </c>
      <c r="V37" s="5"/>
      <c r="W37" s="48">
        <v>104.0</v>
      </c>
      <c r="X37" s="49">
        <v>80.0</v>
      </c>
      <c r="Y37" s="55"/>
      <c r="Z37" s="7"/>
    </row>
    <row r="38">
      <c r="A38" s="40"/>
      <c r="B38" s="41">
        <v>6503724.0</v>
      </c>
      <c r="C38" s="51" t="s">
        <v>106</v>
      </c>
      <c r="D38" s="43" t="s">
        <v>29</v>
      </c>
      <c r="E38" s="52" t="s">
        <v>107</v>
      </c>
      <c r="F38" s="27">
        <f>IFERROR(__xludf.DUMMYFUNCTION("IMPORTRANGE(""https://docs.google.com/spreadsheets/d/1PfPfEwC5dEUihreebI-m2li0jy93An_sgb4FoUuUS0A/edit"",ROW(A38)+3686 &amp; ""!Z2"")
"),8.0)</f>
        <v>8</v>
      </c>
      <c r="G38" s="28">
        <f>IFERROR(__xludf.DUMMYFUNCTION("IMPORTRANGE(""https://docs.google.com/spreadsheets/d/1Nbblj-B70vD9i5jtbyRScyGBXpK_G1dtuDsnJIkMMCA/edit"",ROW(A38)+3686 &amp; ""!Z2"")"),6.0)</f>
        <v>6</v>
      </c>
      <c r="H38" s="29">
        <f>IFERROR(__xludf.DUMMYFUNCTION("IMPORTRANGE(""https://docs.google.com/spreadsheets/d/1jC_PCDgJE2oAmRjwPebkLo_nuqmEUnzBZXpPeH3akQo/edit"",ROW(A38)+3686 &amp; ""!Z2"")"),58.0)</f>
        <v>58</v>
      </c>
      <c r="I38" s="29">
        <f>IFERROR(__xludf.DUMMYFUNCTION("IMPORTRANGE(""https://docs.google.com/spreadsheets/d/1-sYqmNw9LxKJwVmpiSlNiOxHtcQzJNN_Zm5ZWpdvWxc/edit"",ROW(A38)+3686 &amp; ""!Z2"")"),0.0)</f>
        <v>0</v>
      </c>
      <c r="J38" s="29">
        <f>IFERROR(__xludf.DUMMYFUNCTION("IMPORTRANGE(""https://docs.google.com/spreadsheets/d/1ByAR-SZLYFmMZasGxoybWwey9ybLPunmZo2lxna7gz8/edit"",ROW(A38)+3686 &amp; ""!Z2"")"),4.0)</f>
        <v>4</v>
      </c>
      <c r="K38" s="29">
        <f>IFERROR(__xludf.DUMMYFUNCTION("IMPORTRANGE(""https://docs.google.com/spreadsheets/d/1u3kjep_Ay-rJA2uAkkFXuGH0h4mooEyUGnckMoeCfOs/edit"",ROW(A38)+3686 &amp; ""!Z2"")"),7.0)</f>
        <v>7</v>
      </c>
      <c r="L38" s="29">
        <f>IFERROR(__xludf.DUMMYFUNCTION("IMPORTRANGE(""https://docs.google.com/spreadsheets/d/1HTReQ1YdOqch3sGPwq1QL9QnAoK2TCkEH0Emcc83oYs/edit"",ROW(A38)+3686 &amp; ""!Z2"")"),1.0)</f>
        <v>1</v>
      </c>
      <c r="M38" s="29">
        <f>IFERROR(__xludf.DUMMYFUNCTION("IMPORTRANGE(""https://docs.google.com/spreadsheets/d/1hq2y4DlBv4QXLvBwR-9pvgxKcEYt7dtr1-jKlqdvqhQ/edit"",ROW(A38)+3686 &amp; ""!Z2"")"),1.0)</f>
        <v>1</v>
      </c>
      <c r="N38" s="30"/>
      <c r="O38" s="31">
        <f t="shared" si="1"/>
        <v>85</v>
      </c>
      <c r="P38" s="5"/>
      <c r="Q38" s="5"/>
      <c r="R38" s="6"/>
      <c r="S38" s="5"/>
      <c r="T38" s="46"/>
      <c r="U38" s="47">
        <f t="shared" si="2"/>
        <v>256</v>
      </c>
      <c r="V38" s="5"/>
      <c r="W38" s="48">
        <v>139.0</v>
      </c>
      <c r="X38" s="49">
        <v>117.0</v>
      </c>
      <c r="Y38" s="55"/>
      <c r="Z38" s="7"/>
    </row>
    <row r="39">
      <c r="A39" s="40"/>
      <c r="B39" s="41">
        <v>6503725.0</v>
      </c>
      <c r="C39" s="51" t="s">
        <v>108</v>
      </c>
      <c r="D39" s="43" t="s">
        <v>29</v>
      </c>
      <c r="E39" s="52" t="s">
        <v>109</v>
      </c>
      <c r="F39" s="27">
        <f>IFERROR(__xludf.DUMMYFUNCTION("IMPORTRANGE(""https://docs.google.com/spreadsheets/d/1PfPfEwC5dEUihreebI-m2li0jy93An_sgb4FoUuUS0A/edit"",ROW(A39)+3686 &amp; ""!Z2"")
"),0.0)</f>
        <v>0</v>
      </c>
      <c r="G39" s="28">
        <f>IFERROR(__xludf.DUMMYFUNCTION("IMPORTRANGE(""https://docs.google.com/spreadsheets/d/1Nbblj-B70vD9i5jtbyRScyGBXpK_G1dtuDsnJIkMMCA/edit"",ROW(A39)+3686 &amp; ""!Z2"")"),18.0)</f>
        <v>18</v>
      </c>
      <c r="H39" s="29">
        <f>IFERROR(__xludf.DUMMYFUNCTION("IMPORTRANGE(""https://docs.google.com/spreadsheets/d/1jC_PCDgJE2oAmRjwPebkLo_nuqmEUnzBZXpPeH3akQo/edit"",ROW(A39)+3686 &amp; ""!Z2"")"),15.0)</f>
        <v>15</v>
      </c>
      <c r="I39" s="29">
        <f>IFERROR(__xludf.DUMMYFUNCTION("IMPORTRANGE(""https://docs.google.com/spreadsheets/d/1-sYqmNw9LxKJwVmpiSlNiOxHtcQzJNN_Zm5ZWpdvWxc/edit"",ROW(A39)+3686 &amp; ""!Z2"")"),0.0)</f>
        <v>0</v>
      </c>
      <c r="J39" s="29">
        <f>IFERROR(__xludf.DUMMYFUNCTION("IMPORTRANGE(""https://docs.google.com/spreadsheets/d/1ByAR-SZLYFmMZasGxoybWwey9ybLPunmZo2lxna7gz8/edit"",ROW(A39)+3686 &amp; ""!Z2"")"),0.0)</f>
        <v>0</v>
      </c>
      <c r="K39" s="29">
        <f>IFERROR(__xludf.DUMMYFUNCTION("IMPORTRANGE(""https://docs.google.com/spreadsheets/d/1u3kjep_Ay-rJA2uAkkFXuGH0h4mooEyUGnckMoeCfOs/edit"",ROW(A39)+3686 &amp; ""!Z2"")"),16.0)</f>
        <v>16</v>
      </c>
      <c r="L39" s="29">
        <f>IFERROR(__xludf.DUMMYFUNCTION("IMPORTRANGE(""https://docs.google.com/spreadsheets/d/1HTReQ1YdOqch3sGPwq1QL9QnAoK2TCkEH0Emcc83oYs/edit"",ROW(A39)+3686 &amp; ""!Z2"")"),1.0)</f>
        <v>1</v>
      </c>
      <c r="M39" s="29">
        <f>IFERROR(__xludf.DUMMYFUNCTION("IMPORTRANGE(""https://docs.google.com/spreadsheets/d/1hq2y4DlBv4QXLvBwR-9pvgxKcEYt7dtr1-jKlqdvqhQ/edit"",ROW(A39)+3686 &amp; ""!Z2"")"),1.0)</f>
        <v>1</v>
      </c>
      <c r="N39" s="30"/>
      <c r="O39" s="31">
        <f t="shared" si="1"/>
        <v>51</v>
      </c>
      <c r="P39" s="5"/>
      <c r="Q39" s="5"/>
      <c r="R39" s="6"/>
      <c r="S39" s="5"/>
      <c r="T39" s="46"/>
      <c r="U39" s="47">
        <f t="shared" si="2"/>
        <v>165</v>
      </c>
      <c r="V39" s="5"/>
      <c r="W39" s="48">
        <v>93.0</v>
      </c>
      <c r="X39" s="49">
        <v>72.0</v>
      </c>
      <c r="Y39" s="55"/>
      <c r="Z39" s="7"/>
    </row>
    <row r="40">
      <c r="A40" s="40"/>
      <c r="B40" s="41">
        <v>6503726.0</v>
      </c>
      <c r="C40" s="51" t="s">
        <v>110</v>
      </c>
      <c r="D40" s="43" t="s">
        <v>29</v>
      </c>
      <c r="E40" s="52" t="s">
        <v>111</v>
      </c>
      <c r="F40" s="27">
        <f>IFERROR(__xludf.DUMMYFUNCTION("IMPORTRANGE(""https://docs.google.com/spreadsheets/d/1PfPfEwC5dEUihreebI-m2li0jy93An_sgb4FoUuUS0A/edit"",ROW(A40)+3686 &amp; ""!Z2"")
"),16.0)</f>
        <v>16</v>
      </c>
      <c r="G40" s="28">
        <f>IFERROR(__xludf.DUMMYFUNCTION("IMPORTRANGE(""https://docs.google.com/spreadsheets/d/1Nbblj-B70vD9i5jtbyRScyGBXpK_G1dtuDsnJIkMMCA/edit"",ROW(A40)+3686 &amp; ""!Z2"")"),6.0)</f>
        <v>6</v>
      </c>
      <c r="H40" s="29">
        <f>IFERROR(__xludf.DUMMYFUNCTION("IMPORTRANGE(""https://docs.google.com/spreadsheets/d/1jC_PCDgJE2oAmRjwPebkLo_nuqmEUnzBZXpPeH3akQo/edit"",ROW(A40)+3686 &amp; ""!Z2"")"),0.0)</f>
        <v>0</v>
      </c>
      <c r="I40" s="29">
        <f>IFERROR(__xludf.DUMMYFUNCTION("IMPORTRANGE(""https://docs.google.com/spreadsheets/d/1-sYqmNw9LxKJwVmpiSlNiOxHtcQzJNN_Zm5ZWpdvWxc/edit"",ROW(A40)+3686 &amp; ""!Z2"")"),0.0)</f>
        <v>0</v>
      </c>
      <c r="J40" s="29">
        <f>IFERROR(__xludf.DUMMYFUNCTION("IMPORTRANGE(""https://docs.google.com/spreadsheets/d/1ByAR-SZLYFmMZasGxoybWwey9ybLPunmZo2lxna7gz8/edit"",ROW(A40)+3686 &amp; ""!Z2"")"),0.0)</f>
        <v>0</v>
      </c>
      <c r="K40" s="29">
        <f>IFERROR(__xludf.DUMMYFUNCTION("IMPORTRANGE(""https://docs.google.com/spreadsheets/d/1u3kjep_Ay-rJA2uAkkFXuGH0h4mooEyUGnckMoeCfOs/edit"",ROW(A40)+3686 &amp; ""!Z2"")"),4.0)</f>
        <v>4</v>
      </c>
      <c r="L40" s="29">
        <f>IFERROR(__xludf.DUMMYFUNCTION("IMPORTRANGE(""https://docs.google.com/spreadsheets/d/1HTReQ1YdOqch3sGPwq1QL9QnAoK2TCkEH0Emcc83oYs/edit"",ROW(A40)+3686 &amp; ""!Z2"")"),0.0)</f>
        <v>0</v>
      </c>
      <c r="M40" s="29">
        <f>IFERROR(__xludf.DUMMYFUNCTION("IMPORTRANGE(""https://docs.google.com/spreadsheets/d/1hq2y4DlBv4QXLvBwR-9pvgxKcEYt7dtr1-jKlqdvqhQ/edit"",ROW(A40)+3686 &amp; ""!Z2"")"),0.0)</f>
        <v>0</v>
      </c>
      <c r="N40" s="30"/>
      <c r="O40" s="31">
        <f t="shared" si="1"/>
        <v>26</v>
      </c>
      <c r="P40" s="5"/>
      <c r="Q40" s="5"/>
      <c r="R40" s="6"/>
      <c r="S40" s="5"/>
      <c r="T40" s="46"/>
      <c r="U40" s="47">
        <f t="shared" si="2"/>
        <v>170</v>
      </c>
      <c r="V40" s="5"/>
      <c r="W40" s="48">
        <v>96.0</v>
      </c>
      <c r="X40" s="49">
        <v>74.0</v>
      </c>
      <c r="Y40" s="55"/>
      <c r="Z40" s="7"/>
    </row>
    <row r="41">
      <c r="A41" s="40"/>
      <c r="B41" s="41">
        <v>6503727.0</v>
      </c>
      <c r="C41" s="51" t="s">
        <v>112</v>
      </c>
      <c r="D41" s="43" t="s">
        <v>29</v>
      </c>
      <c r="E41" s="52" t="s">
        <v>113</v>
      </c>
      <c r="F41" s="27">
        <f>IFERROR(__xludf.DUMMYFUNCTION("IMPORTRANGE(""https://docs.google.com/spreadsheets/d/1PfPfEwC5dEUihreebI-m2li0jy93An_sgb4FoUuUS0A/edit"",ROW(A41)+3686 &amp; ""!Z2"")
"),40.0)</f>
        <v>40</v>
      </c>
      <c r="G41" s="28">
        <f>IFERROR(__xludf.DUMMYFUNCTION("IMPORTRANGE(""https://docs.google.com/spreadsheets/d/1Nbblj-B70vD9i5jtbyRScyGBXpK_G1dtuDsnJIkMMCA/edit"",ROW(A41)+3686 &amp; ""!Z2"")"),12.0)</f>
        <v>12</v>
      </c>
      <c r="H41" s="29">
        <f>IFERROR(__xludf.DUMMYFUNCTION("IMPORTRANGE(""https://docs.google.com/spreadsheets/d/1jC_PCDgJE2oAmRjwPebkLo_nuqmEUnzBZXpPeH3akQo/edit"",ROW(A41)+3686 &amp; ""!Z2"")"),24.0)</f>
        <v>24</v>
      </c>
      <c r="I41" s="29">
        <f>IFERROR(__xludf.DUMMYFUNCTION("IMPORTRANGE(""https://docs.google.com/spreadsheets/d/1-sYqmNw9LxKJwVmpiSlNiOxHtcQzJNN_Zm5ZWpdvWxc/edit"",ROW(A41)+3686 &amp; ""!Z2"")"),0.0)</f>
        <v>0</v>
      </c>
      <c r="J41" s="29">
        <f>IFERROR(__xludf.DUMMYFUNCTION("IMPORTRANGE(""https://docs.google.com/spreadsheets/d/1ByAR-SZLYFmMZasGxoybWwey9ybLPunmZo2lxna7gz8/edit"",ROW(A41)+3686 &amp; ""!Z2"")"),0.0)</f>
        <v>0</v>
      </c>
      <c r="K41" s="29">
        <f>IFERROR(__xludf.DUMMYFUNCTION("IMPORTRANGE(""https://docs.google.com/spreadsheets/d/1u3kjep_Ay-rJA2uAkkFXuGH0h4mooEyUGnckMoeCfOs/edit"",ROW(A41)+3686 &amp; ""!Z2"")"),4.0)</f>
        <v>4</v>
      </c>
      <c r="L41" s="29">
        <f>IFERROR(__xludf.DUMMYFUNCTION("IMPORTRANGE(""https://docs.google.com/spreadsheets/d/1HTReQ1YdOqch3sGPwq1QL9QnAoK2TCkEH0Emcc83oYs/edit"",ROW(A41)+3686 &amp; ""!Z2"")"),0.0)</f>
        <v>0</v>
      </c>
      <c r="M41" s="29">
        <f>IFERROR(__xludf.DUMMYFUNCTION("IMPORTRANGE(""https://docs.google.com/spreadsheets/d/1hq2y4DlBv4QXLvBwR-9pvgxKcEYt7dtr1-jKlqdvqhQ/edit"",ROW(A41)+3686 &amp; ""!Z2"")"),0.0)</f>
        <v>0</v>
      </c>
      <c r="N41" s="30"/>
      <c r="O41" s="31">
        <f t="shared" si="1"/>
        <v>80</v>
      </c>
      <c r="P41" s="5"/>
      <c r="Q41" s="5"/>
      <c r="R41" s="6"/>
      <c r="S41" s="5"/>
      <c r="T41" s="46"/>
      <c r="U41" s="47">
        <f t="shared" si="2"/>
        <v>186</v>
      </c>
      <c r="V41" s="5"/>
      <c r="W41" s="48">
        <v>105.0</v>
      </c>
      <c r="X41" s="49">
        <v>81.0</v>
      </c>
      <c r="Y41" s="55"/>
      <c r="Z41" s="7"/>
    </row>
    <row r="42">
      <c r="A42" s="40"/>
      <c r="B42" s="41">
        <v>6503728.0</v>
      </c>
      <c r="C42" s="51" t="s">
        <v>114</v>
      </c>
      <c r="D42" s="43" t="s">
        <v>29</v>
      </c>
      <c r="E42" s="52" t="s">
        <v>115</v>
      </c>
      <c r="F42" s="27">
        <f>IFERROR(__xludf.DUMMYFUNCTION("IMPORTRANGE(""https://docs.google.com/spreadsheets/d/1PfPfEwC5dEUihreebI-m2li0jy93An_sgb4FoUuUS0A/edit"",ROW(A42)+3686 &amp; ""!Z2"")
"),0.0)</f>
        <v>0</v>
      </c>
      <c r="G42" s="28">
        <f>IFERROR(__xludf.DUMMYFUNCTION("IMPORTRANGE(""https://docs.google.com/spreadsheets/d/1Nbblj-B70vD9i5jtbyRScyGBXpK_G1dtuDsnJIkMMCA/edit"",ROW(A42)+3686 &amp; ""!Z2"")"),12.0)</f>
        <v>12</v>
      </c>
      <c r="H42" s="29">
        <f>IFERROR(__xludf.DUMMYFUNCTION("IMPORTRANGE(""https://docs.google.com/spreadsheets/d/1jC_PCDgJE2oAmRjwPebkLo_nuqmEUnzBZXpPeH3akQo/edit"",ROW(A42)+3686 &amp; ""!Z2"")"),21.0)</f>
        <v>21</v>
      </c>
      <c r="I42" s="29">
        <f>IFERROR(__xludf.DUMMYFUNCTION("IMPORTRANGE(""https://docs.google.com/spreadsheets/d/1-sYqmNw9LxKJwVmpiSlNiOxHtcQzJNN_Zm5ZWpdvWxc/edit"",ROW(A42)+3686 &amp; ""!Z2"")"),0.0)</f>
        <v>0</v>
      </c>
      <c r="J42" s="29">
        <f>IFERROR(__xludf.DUMMYFUNCTION("IMPORTRANGE(""https://docs.google.com/spreadsheets/d/1ByAR-SZLYFmMZasGxoybWwey9ybLPunmZo2lxna7gz8/edit"",ROW(A42)+3686 &amp; ""!Z2"")"),0.0)</f>
        <v>0</v>
      </c>
      <c r="K42" s="29">
        <f>IFERROR(__xludf.DUMMYFUNCTION("IMPORTRANGE(""https://docs.google.com/spreadsheets/d/1u3kjep_Ay-rJA2uAkkFXuGH0h4mooEyUGnckMoeCfOs/edit"",ROW(A42)+3686 &amp; ""!Z2"")"),4.0)</f>
        <v>4</v>
      </c>
      <c r="L42" s="29">
        <f>IFERROR(__xludf.DUMMYFUNCTION("IMPORTRANGE(""https://docs.google.com/spreadsheets/d/1HTReQ1YdOqch3sGPwq1QL9QnAoK2TCkEH0Emcc83oYs/edit"",ROW(A42)+3686 &amp; ""!Z2"")"),0.0)</f>
        <v>0</v>
      </c>
      <c r="M42" s="29">
        <f>IFERROR(__xludf.DUMMYFUNCTION("IMPORTRANGE(""https://docs.google.com/spreadsheets/d/1hq2y4DlBv4QXLvBwR-9pvgxKcEYt7dtr1-jKlqdvqhQ/edit"",ROW(A42)+3686 &amp; ""!Z2"")"),0.0)</f>
        <v>0</v>
      </c>
      <c r="N42" s="30">
        <v>20.0</v>
      </c>
      <c r="O42" s="31">
        <f t="shared" si="1"/>
        <v>57</v>
      </c>
      <c r="P42" s="53" t="s">
        <v>37</v>
      </c>
      <c r="Q42" s="5"/>
      <c r="R42" s="6"/>
      <c r="S42" s="5"/>
      <c r="T42" s="46"/>
      <c r="U42" s="47">
        <f t="shared" si="2"/>
        <v>196</v>
      </c>
      <c r="V42" s="5"/>
      <c r="W42" s="48">
        <v>110.0</v>
      </c>
      <c r="X42" s="49">
        <v>86.0</v>
      </c>
      <c r="Y42" s="55"/>
      <c r="Z42" s="7"/>
    </row>
    <row r="43">
      <c r="A43" s="40"/>
      <c r="B43" s="41">
        <v>6503729.0</v>
      </c>
      <c r="C43" s="51" t="s">
        <v>116</v>
      </c>
      <c r="D43" s="43" t="s">
        <v>29</v>
      </c>
      <c r="E43" s="52" t="s">
        <v>117</v>
      </c>
      <c r="F43" s="27">
        <f>IFERROR(__xludf.DUMMYFUNCTION("IMPORTRANGE(""https://docs.google.com/spreadsheets/d/1PfPfEwC5dEUihreebI-m2li0jy93An_sgb4FoUuUS0A/edit"",ROW(A43)+3686 &amp; ""!Z2"")
"),0.0)</f>
        <v>0</v>
      </c>
      <c r="G43" s="28">
        <f>IFERROR(__xludf.DUMMYFUNCTION("IMPORTRANGE(""https://docs.google.com/spreadsheets/d/1Nbblj-B70vD9i5jtbyRScyGBXpK_G1dtuDsnJIkMMCA/edit"",ROW(A43)+3686 &amp; ""!Z2"")"),0.0)</f>
        <v>0</v>
      </c>
      <c r="H43" s="29">
        <f>IFERROR(__xludf.DUMMYFUNCTION("IMPORTRANGE(""https://docs.google.com/spreadsheets/d/1jC_PCDgJE2oAmRjwPebkLo_nuqmEUnzBZXpPeH3akQo/edit"",ROW(A43)+3686 &amp; ""!Z2"")"),0.0)</f>
        <v>0</v>
      </c>
      <c r="I43" s="29">
        <f>IFERROR(__xludf.DUMMYFUNCTION("IMPORTRANGE(""https://docs.google.com/spreadsheets/d/1-sYqmNw9LxKJwVmpiSlNiOxHtcQzJNN_Zm5ZWpdvWxc/edit"",ROW(A43)+3686 &amp; ""!Z2"")"),0.0)</f>
        <v>0</v>
      </c>
      <c r="J43" s="29">
        <f>IFERROR(__xludf.DUMMYFUNCTION("IMPORTRANGE(""https://docs.google.com/spreadsheets/d/1ByAR-SZLYFmMZasGxoybWwey9ybLPunmZo2lxna7gz8/edit"",ROW(A43)+3686 &amp; ""!Z2"")"),18.0)</f>
        <v>18</v>
      </c>
      <c r="K43" s="29">
        <f>IFERROR(__xludf.DUMMYFUNCTION("IMPORTRANGE(""https://docs.google.com/spreadsheets/d/1u3kjep_Ay-rJA2uAkkFXuGH0h4mooEyUGnckMoeCfOs/edit"",ROW(A43)+3686 &amp; ""!Z2"")"),0.0)</f>
        <v>0</v>
      </c>
      <c r="L43" s="29">
        <f>IFERROR(__xludf.DUMMYFUNCTION("IMPORTRANGE(""https://docs.google.com/spreadsheets/d/1HTReQ1YdOqch3sGPwq1QL9QnAoK2TCkEH0Emcc83oYs/edit"",ROW(A43)+3686 &amp; ""!Z2"")"),0.0)</f>
        <v>0</v>
      </c>
      <c r="M43" s="29">
        <f>IFERROR(__xludf.DUMMYFUNCTION("IMPORTRANGE(""https://docs.google.com/spreadsheets/d/1hq2y4DlBv4QXLvBwR-9pvgxKcEYt7dtr1-jKlqdvqhQ/edit"",ROW(A43)+3686 &amp; ""!Z2"")"),0.0)</f>
        <v>0</v>
      </c>
      <c r="N43" s="30">
        <v>20.0</v>
      </c>
      <c r="O43" s="31">
        <f t="shared" si="1"/>
        <v>38</v>
      </c>
      <c r="P43" s="44" t="s">
        <v>118</v>
      </c>
      <c r="Q43" s="5"/>
      <c r="R43" s="6"/>
      <c r="S43" s="57">
        <v>20.0</v>
      </c>
      <c r="T43" s="46"/>
      <c r="U43" s="47">
        <f t="shared" si="2"/>
        <v>198</v>
      </c>
      <c r="V43" s="5"/>
      <c r="W43" s="48">
        <v>111.0</v>
      </c>
      <c r="X43" s="49">
        <v>87.0</v>
      </c>
      <c r="Y43" s="55"/>
      <c r="Z43" s="7"/>
    </row>
    <row r="44">
      <c r="A44" s="40"/>
      <c r="B44" s="41">
        <v>6503730.0</v>
      </c>
      <c r="C44" s="51" t="s">
        <v>119</v>
      </c>
      <c r="D44" s="43" t="s">
        <v>29</v>
      </c>
      <c r="E44" s="52" t="s">
        <v>120</v>
      </c>
      <c r="F44" s="27">
        <f>IFERROR(__xludf.DUMMYFUNCTION("IMPORTRANGE(""https://docs.google.com/spreadsheets/d/1PfPfEwC5dEUihreebI-m2li0jy93An_sgb4FoUuUS0A/edit"",ROW(A44)+3686 &amp; ""!Z2"")
"),0.0)</f>
        <v>0</v>
      </c>
      <c r="G44" s="28">
        <f>IFERROR(__xludf.DUMMYFUNCTION("IMPORTRANGE(""https://docs.google.com/spreadsheets/d/1Nbblj-B70vD9i5jtbyRScyGBXpK_G1dtuDsnJIkMMCA/edit"",ROW(A44)+3686 &amp; ""!Z2"")"),6.0)</f>
        <v>6</v>
      </c>
      <c r="H44" s="29">
        <f>IFERROR(__xludf.DUMMYFUNCTION("IMPORTRANGE(""https://docs.google.com/spreadsheets/d/1jC_PCDgJE2oAmRjwPebkLo_nuqmEUnzBZXpPeH3akQo/edit"",ROW(A44)+3686 &amp; ""!Z2"")"),0.0)</f>
        <v>0</v>
      </c>
      <c r="I44" s="29">
        <f>IFERROR(__xludf.DUMMYFUNCTION("IMPORTRANGE(""https://docs.google.com/spreadsheets/d/1-sYqmNw9LxKJwVmpiSlNiOxHtcQzJNN_Zm5ZWpdvWxc/edit"",ROW(A44)+3686 &amp; ""!Z2"")"),0.0)</f>
        <v>0</v>
      </c>
      <c r="J44" s="29">
        <f>IFERROR(__xludf.DUMMYFUNCTION("IMPORTRANGE(""https://docs.google.com/spreadsheets/d/1ByAR-SZLYFmMZasGxoybWwey9ybLPunmZo2lxna7gz8/edit"",ROW(A44)+3686 &amp; ""!Z2"")"),4.0)</f>
        <v>4</v>
      </c>
      <c r="K44" s="29">
        <f>IFERROR(__xludf.DUMMYFUNCTION("IMPORTRANGE(""https://docs.google.com/spreadsheets/d/1u3kjep_Ay-rJA2uAkkFXuGH0h4mooEyUGnckMoeCfOs/edit"",ROW(A44)+3686 &amp; ""!Z2"")"),4.0)</f>
        <v>4</v>
      </c>
      <c r="L44" s="29">
        <f>IFERROR(__xludf.DUMMYFUNCTION("IMPORTRANGE(""https://docs.google.com/spreadsheets/d/1HTReQ1YdOqch3sGPwq1QL9QnAoK2TCkEH0Emcc83oYs/edit"",ROW(A44)+3686 &amp; ""!Z2"")"),11.0)</f>
        <v>11</v>
      </c>
      <c r="M44" s="29">
        <f>IFERROR(__xludf.DUMMYFUNCTION("IMPORTRANGE(""https://docs.google.com/spreadsheets/d/1hq2y4DlBv4QXLvBwR-9pvgxKcEYt7dtr1-jKlqdvqhQ/edit"",ROW(A44)+3686 &amp; ""!Z2"")"),11.0)</f>
        <v>11</v>
      </c>
      <c r="N44" s="30"/>
      <c r="O44" s="31">
        <f t="shared" si="1"/>
        <v>36</v>
      </c>
      <c r="P44" s="5"/>
      <c r="Q44" s="5"/>
      <c r="R44" s="6"/>
      <c r="S44" s="5"/>
      <c r="T44" s="46"/>
      <c r="U44" s="47">
        <f t="shared" si="2"/>
        <v>197</v>
      </c>
      <c r="V44" s="5"/>
      <c r="W44" s="48">
        <v>110.5</v>
      </c>
      <c r="X44" s="49">
        <v>86.5</v>
      </c>
      <c r="Y44" s="55"/>
      <c r="Z44" s="7"/>
    </row>
    <row r="45">
      <c r="A45" s="40"/>
      <c r="B45" s="41">
        <v>6503731.0</v>
      </c>
      <c r="C45" s="51" t="s">
        <v>121</v>
      </c>
      <c r="D45" s="43" t="s">
        <v>32</v>
      </c>
      <c r="E45" s="52" t="s">
        <v>122</v>
      </c>
      <c r="F45" s="27">
        <f>IFERROR(__xludf.DUMMYFUNCTION("IMPORTRANGE(""https://docs.google.com/spreadsheets/d/1PfPfEwC5dEUihreebI-m2li0jy93An_sgb4FoUuUS0A/edit"",ROW(A45)+3686 &amp; ""!Z2"")
"),0.0)</f>
        <v>0</v>
      </c>
      <c r="G45" s="28">
        <f>IFERROR(__xludf.DUMMYFUNCTION("IMPORTRANGE(""https://docs.google.com/spreadsheets/d/1Nbblj-B70vD9i5jtbyRScyGBXpK_G1dtuDsnJIkMMCA/edit"",ROW(A45)+3686 &amp; ""!Z2"")"),6.0)</f>
        <v>6</v>
      </c>
      <c r="H45" s="29">
        <f>IFERROR(__xludf.DUMMYFUNCTION("IMPORTRANGE(""https://docs.google.com/spreadsheets/d/1jC_PCDgJE2oAmRjwPebkLo_nuqmEUnzBZXpPeH3akQo/edit"",ROW(A45)+3686 &amp; ""!Z2"")"),0.0)</f>
        <v>0</v>
      </c>
      <c r="I45" s="29">
        <f>IFERROR(__xludf.DUMMYFUNCTION("IMPORTRANGE(""https://docs.google.com/spreadsheets/d/1-sYqmNw9LxKJwVmpiSlNiOxHtcQzJNN_Zm5ZWpdvWxc/edit"",ROW(A45)+3686 &amp; ""!Z2"")"),0.0)</f>
        <v>0</v>
      </c>
      <c r="J45" s="29">
        <f>IFERROR(__xludf.DUMMYFUNCTION("IMPORTRANGE(""https://docs.google.com/spreadsheets/d/1ByAR-SZLYFmMZasGxoybWwey9ybLPunmZo2lxna7gz8/edit"",ROW(A45)+3686 &amp; ""!Z2"")"),0.0)</f>
        <v>0</v>
      </c>
      <c r="K45" s="29">
        <f>IFERROR(__xludf.DUMMYFUNCTION("IMPORTRANGE(""https://docs.google.com/spreadsheets/d/1u3kjep_Ay-rJA2uAkkFXuGH0h4mooEyUGnckMoeCfOs/edit"",ROW(A45)+3686 &amp; ""!Z2"")"),0.0)</f>
        <v>0</v>
      </c>
      <c r="L45" s="29">
        <f>IFERROR(__xludf.DUMMYFUNCTION("IMPORTRANGE(""https://docs.google.com/spreadsheets/d/1HTReQ1YdOqch3sGPwq1QL9QnAoK2TCkEH0Emcc83oYs/edit"",ROW(A45)+3686 &amp; ""!Z2"")"),0.0)</f>
        <v>0</v>
      </c>
      <c r="M45" s="29">
        <f>IFERROR(__xludf.DUMMYFUNCTION("IMPORTRANGE(""https://docs.google.com/spreadsheets/d/1hq2y4DlBv4QXLvBwR-9pvgxKcEYt7dtr1-jKlqdvqhQ/edit"",ROW(A45)+3686 &amp; ""!Z2"")"),0.0)</f>
        <v>0</v>
      </c>
      <c r="N45" s="30">
        <v>20.0</v>
      </c>
      <c r="O45" s="31">
        <f t="shared" si="1"/>
        <v>26</v>
      </c>
      <c r="P45" s="59" t="s">
        <v>101</v>
      </c>
      <c r="Q45" s="5"/>
      <c r="R45" s="6"/>
      <c r="S45" s="57">
        <v>20.0</v>
      </c>
      <c r="T45" s="46"/>
      <c r="U45" s="47">
        <f t="shared" si="2"/>
        <v>182</v>
      </c>
      <c r="V45" s="5"/>
      <c r="W45" s="48">
        <v>103.0</v>
      </c>
      <c r="X45" s="49">
        <v>79.0</v>
      </c>
      <c r="Y45" s="55"/>
      <c r="Z45" s="7"/>
    </row>
    <row r="46">
      <c r="A46" s="40"/>
      <c r="B46" s="41">
        <v>6503732.0</v>
      </c>
      <c r="C46" s="51" t="s">
        <v>123</v>
      </c>
      <c r="D46" s="43" t="s">
        <v>29</v>
      </c>
      <c r="E46" s="52" t="s">
        <v>124</v>
      </c>
      <c r="F46" s="27">
        <f>IFERROR(__xludf.DUMMYFUNCTION("IMPORTRANGE(""https://docs.google.com/spreadsheets/d/1PfPfEwC5dEUihreebI-m2li0jy93An_sgb4FoUuUS0A/edit"",ROW(A46)+3686 &amp; ""!Z2"")
"),0.0)</f>
        <v>0</v>
      </c>
      <c r="G46" s="28">
        <f>IFERROR(__xludf.DUMMYFUNCTION("IMPORTRANGE(""https://docs.google.com/spreadsheets/d/1Nbblj-B70vD9i5jtbyRScyGBXpK_G1dtuDsnJIkMMCA/edit"",ROW(A46)+3686 &amp; ""!Z2"")"),6.0)</f>
        <v>6</v>
      </c>
      <c r="H46" s="29">
        <f>IFERROR(__xludf.DUMMYFUNCTION("IMPORTRANGE(""https://docs.google.com/spreadsheets/d/1jC_PCDgJE2oAmRjwPebkLo_nuqmEUnzBZXpPeH3akQo/edit"",ROW(A46)+3686 &amp; ""!Z2"")"),0.0)</f>
        <v>0</v>
      </c>
      <c r="I46" s="29">
        <f>IFERROR(__xludf.DUMMYFUNCTION("IMPORTRANGE(""https://docs.google.com/spreadsheets/d/1-sYqmNw9LxKJwVmpiSlNiOxHtcQzJNN_Zm5ZWpdvWxc/edit"",ROW(A46)+3686 &amp; ""!Z2"")"),0.0)</f>
        <v>0</v>
      </c>
      <c r="J46" s="29">
        <f>IFERROR(__xludf.DUMMYFUNCTION("IMPORTRANGE(""https://docs.google.com/spreadsheets/d/1ByAR-SZLYFmMZasGxoybWwey9ybLPunmZo2lxna7gz8/edit"",ROW(A46)+3686 &amp; ""!Z2"")"),0.0)</f>
        <v>0</v>
      </c>
      <c r="K46" s="29">
        <f>IFERROR(__xludf.DUMMYFUNCTION("IMPORTRANGE(""https://docs.google.com/spreadsheets/d/1u3kjep_Ay-rJA2uAkkFXuGH0h4mooEyUGnckMoeCfOs/edit"",ROW(A46)+3686 &amp; ""!Z2"")"),0.0)</f>
        <v>0</v>
      </c>
      <c r="L46" s="29">
        <f>IFERROR(__xludf.DUMMYFUNCTION("IMPORTRANGE(""https://docs.google.com/spreadsheets/d/1HTReQ1YdOqch3sGPwq1QL9QnAoK2TCkEH0Emcc83oYs/edit"",ROW(A46)+3686 &amp; ""!Z2"")"),0.0)</f>
        <v>0</v>
      </c>
      <c r="M46" s="29">
        <f>IFERROR(__xludf.DUMMYFUNCTION("IMPORTRANGE(""https://docs.google.com/spreadsheets/d/1hq2y4DlBv4QXLvBwR-9pvgxKcEYt7dtr1-jKlqdvqhQ/edit"",ROW(A46)+3686 &amp; ""!Z2"")"),0.0)</f>
        <v>0</v>
      </c>
      <c r="N46" s="30">
        <v>20.0</v>
      </c>
      <c r="O46" s="31">
        <f t="shared" si="1"/>
        <v>26</v>
      </c>
      <c r="P46" s="44" t="s">
        <v>118</v>
      </c>
      <c r="Q46" s="5"/>
      <c r="R46" s="6"/>
      <c r="S46" s="57">
        <v>20.0</v>
      </c>
      <c r="T46" s="46"/>
      <c r="U46" s="47">
        <f t="shared" si="2"/>
        <v>294</v>
      </c>
      <c r="V46" s="5"/>
      <c r="W46" s="48">
        <v>159.0</v>
      </c>
      <c r="X46" s="49">
        <v>135.0</v>
      </c>
      <c r="Y46" s="55"/>
      <c r="Z46" s="7"/>
    </row>
    <row r="47">
      <c r="A47" s="40"/>
      <c r="B47" s="41">
        <v>6503733.0</v>
      </c>
      <c r="C47" s="51" t="s">
        <v>125</v>
      </c>
      <c r="D47" s="43" t="s">
        <v>29</v>
      </c>
      <c r="E47" s="52" t="s">
        <v>126</v>
      </c>
      <c r="F47" s="27">
        <f>IFERROR(__xludf.DUMMYFUNCTION("IMPORTRANGE(""https://docs.google.com/spreadsheets/d/1PfPfEwC5dEUihreebI-m2li0jy93An_sgb4FoUuUS0A/edit"",ROW(A47)+3686 &amp; ""!Z2"")
"),8.0)</f>
        <v>8</v>
      </c>
      <c r="G47" s="28">
        <f>IFERROR(__xludf.DUMMYFUNCTION("IMPORTRANGE(""https://docs.google.com/spreadsheets/d/1Nbblj-B70vD9i5jtbyRScyGBXpK_G1dtuDsnJIkMMCA/edit"",ROW(A47)+3686 &amp; ""!Z2"")"),6.0)</f>
        <v>6</v>
      </c>
      <c r="H47" s="29">
        <f>IFERROR(__xludf.DUMMYFUNCTION("IMPORTRANGE(""https://docs.google.com/spreadsheets/d/1jC_PCDgJE2oAmRjwPebkLo_nuqmEUnzBZXpPeH3akQo/edit"",ROW(A47)+3686 &amp; ""!Z2"")"),0.0)</f>
        <v>0</v>
      </c>
      <c r="I47" s="29">
        <f>IFERROR(__xludf.DUMMYFUNCTION("IMPORTRANGE(""https://docs.google.com/spreadsheets/d/1-sYqmNw9LxKJwVmpiSlNiOxHtcQzJNN_Zm5ZWpdvWxc/edit"",ROW(A47)+3686 &amp; ""!Z2"")"),0.0)</f>
        <v>0</v>
      </c>
      <c r="J47" s="29">
        <f>IFERROR(__xludf.DUMMYFUNCTION("IMPORTRANGE(""https://docs.google.com/spreadsheets/d/1ByAR-SZLYFmMZasGxoybWwey9ybLPunmZo2lxna7gz8/edit"",ROW(A47)+3686 &amp; ""!Z2"")"),0.0)</f>
        <v>0</v>
      </c>
      <c r="K47" s="29">
        <f>IFERROR(__xludf.DUMMYFUNCTION("IMPORTRANGE(""https://docs.google.com/spreadsheets/d/1u3kjep_Ay-rJA2uAkkFXuGH0h4mooEyUGnckMoeCfOs/edit"",ROW(A47)+3686 &amp; ""!Z2"")"),8.0)</f>
        <v>8</v>
      </c>
      <c r="L47" s="29">
        <f>IFERROR(__xludf.DUMMYFUNCTION("IMPORTRANGE(""https://docs.google.com/spreadsheets/d/1HTReQ1YdOqch3sGPwq1QL9QnAoK2TCkEH0Emcc83oYs/edit"",ROW(A47)+3686 &amp; ""!Z2"")"),6.0)</f>
        <v>6</v>
      </c>
      <c r="M47" s="29">
        <f>IFERROR(__xludf.DUMMYFUNCTION("IMPORTRANGE(""https://docs.google.com/spreadsheets/d/1hq2y4DlBv4QXLvBwR-9pvgxKcEYt7dtr1-jKlqdvqhQ/edit"",ROW(A47)+3686 &amp; ""!Z2"")"),6.0)</f>
        <v>6</v>
      </c>
      <c r="N47" s="30"/>
      <c r="O47" s="31">
        <f t="shared" si="1"/>
        <v>34</v>
      </c>
      <c r="P47" s="5"/>
      <c r="Q47" s="5"/>
      <c r="R47" s="6"/>
      <c r="S47" s="5"/>
      <c r="T47" s="46"/>
      <c r="U47" s="47">
        <f t="shared" si="2"/>
        <v>164</v>
      </c>
      <c r="V47" s="5"/>
      <c r="W47" s="48">
        <v>92.0</v>
      </c>
      <c r="X47" s="49">
        <v>72.0</v>
      </c>
      <c r="Y47" s="55"/>
      <c r="Z47" s="7"/>
    </row>
    <row r="48">
      <c r="A48" s="40"/>
      <c r="B48" s="41">
        <v>6503734.0</v>
      </c>
      <c r="C48" s="51" t="s">
        <v>127</v>
      </c>
      <c r="D48" s="43" t="s">
        <v>29</v>
      </c>
      <c r="E48" s="52" t="s">
        <v>128</v>
      </c>
      <c r="F48" s="27">
        <f>IFERROR(__xludf.DUMMYFUNCTION("IMPORTRANGE(""https://docs.google.com/spreadsheets/d/1PfPfEwC5dEUihreebI-m2li0jy93An_sgb4FoUuUS0A/edit"",ROW(A48)+3686 &amp; ""!Z2"")
"),8.0)</f>
        <v>8</v>
      </c>
      <c r="G48" s="28">
        <f>IFERROR(__xludf.DUMMYFUNCTION("IMPORTRANGE(""https://docs.google.com/spreadsheets/d/1Nbblj-B70vD9i5jtbyRScyGBXpK_G1dtuDsnJIkMMCA/edit"",ROW(A48)+3686 &amp; ""!Z2"")"),6.0)</f>
        <v>6</v>
      </c>
      <c r="H48" s="29">
        <f>IFERROR(__xludf.DUMMYFUNCTION("IMPORTRANGE(""https://docs.google.com/spreadsheets/d/1jC_PCDgJE2oAmRjwPebkLo_nuqmEUnzBZXpPeH3akQo/edit"",ROW(A48)+3686 &amp; ""!Z2"")"),0.0)</f>
        <v>0</v>
      </c>
      <c r="I48" s="29">
        <f>IFERROR(__xludf.DUMMYFUNCTION("IMPORTRANGE(""https://docs.google.com/spreadsheets/d/1-sYqmNw9LxKJwVmpiSlNiOxHtcQzJNN_Zm5ZWpdvWxc/edit"",ROW(A48)+3686 &amp; ""!Z2"")"),0.0)</f>
        <v>0</v>
      </c>
      <c r="J48" s="29">
        <f>IFERROR(__xludf.DUMMYFUNCTION("IMPORTRANGE(""https://docs.google.com/spreadsheets/d/1ByAR-SZLYFmMZasGxoybWwey9ybLPunmZo2lxna7gz8/edit"",ROW(A48)+3686 &amp; ""!Z2"")"),8.0)</f>
        <v>8</v>
      </c>
      <c r="K48" s="29">
        <f>IFERROR(__xludf.DUMMYFUNCTION("IMPORTRANGE(""https://docs.google.com/spreadsheets/d/1u3kjep_Ay-rJA2uAkkFXuGH0h4mooEyUGnckMoeCfOs/edit"",ROW(A48)+3686 &amp; ""!Z2"")"),5.0)</f>
        <v>5</v>
      </c>
      <c r="L48" s="29">
        <f>IFERROR(__xludf.DUMMYFUNCTION("IMPORTRANGE(""https://docs.google.com/spreadsheets/d/1HTReQ1YdOqch3sGPwq1QL9QnAoK2TCkEH0Emcc83oYs/edit"",ROW(A48)+3686 &amp; ""!Z2"")"),0.0)</f>
        <v>0</v>
      </c>
      <c r="M48" s="29">
        <f>IFERROR(__xludf.DUMMYFUNCTION("IMPORTRANGE(""https://docs.google.com/spreadsheets/d/1hq2y4DlBv4QXLvBwR-9pvgxKcEYt7dtr1-jKlqdvqhQ/edit"",ROW(A48)+3686 &amp; ""!Z2"")"),0.0)</f>
        <v>0</v>
      </c>
      <c r="N48" s="30"/>
      <c r="O48" s="31">
        <f t="shared" si="1"/>
        <v>27</v>
      </c>
      <c r="P48" s="5"/>
      <c r="Q48" s="5"/>
      <c r="R48" s="6"/>
      <c r="S48" s="5"/>
      <c r="T48" s="46"/>
      <c r="U48" s="47">
        <f t="shared" si="2"/>
        <v>202</v>
      </c>
      <c r="V48" s="5"/>
      <c r="W48" s="48">
        <v>113.0</v>
      </c>
      <c r="X48" s="49">
        <v>89.0</v>
      </c>
      <c r="Y48" s="55"/>
      <c r="Z48" s="7"/>
    </row>
    <row r="49">
      <c r="A49" s="40"/>
      <c r="B49" s="41">
        <v>6503735.0</v>
      </c>
      <c r="C49" s="51" t="s">
        <v>129</v>
      </c>
      <c r="D49" s="43" t="s">
        <v>29</v>
      </c>
      <c r="E49" s="52" t="s">
        <v>130</v>
      </c>
      <c r="F49" s="27">
        <f>IFERROR(__xludf.DUMMYFUNCTION("IMPORTRANGE(""https://docs.google.com/spreadsheets/d/1PfPfEwC5dEUihreebI-m2li0jy93An_sgb4FoUuUS0A/edit"",ROW(A49)+3686 &amp; ""!Z2"")
"),0.0)</f>
        <v>0</v>
      </c>
      <c r="G49" s="28">
        <f>IFERROR(__xludf.DUMMYFUNCTION("IMPORTRANGE(""https://docs.google.com/spreadsheets/d/1Nbblj-B70vD9i5jtbyRScyGBXpK_G1dtuDsnJIkMMCA/edit"",ROW(A49)+3686 &amp; ""!Z2"")"),6.0)</f>
        <v>6</v>
      </c>
      <c r="H49" s="29">
        <f>IFERROR(__xludf.DUMMYFUNCTION("IMPORTRANGE(""https://docs.google.com/spreadsheets/d/1jC_PCDgJE2oAmRjwPebkLo_nuqmEUnzBZXpPeH3akQo/edit"",ROW(A49)+3686 &amp; ""!Z2"")"),20.0)</f>
        <v>20</v>
      </c>
      <c r="I49" s="29">
        <f>IFERROR(__xludf.DUMMYFUNCTION("IMPORTRANGE(""https://docs.google.com/spreadsheets/d/1-sYqmNw9LxKJwVmpiSlNiOxHtcQzJNN_Zm5ZWpdvWxc/edit"",ROW(A49)+3686 &amp; ""!Z2"")"),0.0)</f>
        <v>0</v>
      </c>
      <c r="J49" s="29">
        <f>IFERROR(__xludf.DUMMYFUNCTION("IMPORTRANGE(""https://docs.google.com/spreadsheets/d/1ByAR-SZLYFmMZasGxoybWwey9ybLPunmZo2lxna7gz8/edit"",ROW(A49)+3686 &amp; ""!Z2"")"),0.0)</f>
        <v>0</v>
      </c>
      <c r="K49" s="29">
        <f>IFERROR(__xludf.DUMMYFUNCTION("IMPORTRANGE(""https://docs.google.com/spreadsheets/d/1u3kjep_Ay-rJA2uAkkFXuGH0h4mooEyUGnckMoeCfOs/edit"",ROW(A49)+3686 &amp; ""!Z2"")"),4.0)</f>
        <v>4</v>
      </c>
      <c r="L49" s="29">
        <f>IFERROR(__xludf.DUMMYFUNCTION("IMPORTRANGE(""https://docs.google.com/spreadsheets/d/1HTReQ1YdOqch3sGPwq1QL9QnAoK2TCkEH0Emcc83oYs/edit"",ROW(A49)+3686 &amp; ""!Z2"")"),5.0)</f>
        <v>5</v>
      </c>
      <c r="M49" s="29">
        <f>IFERROR(__xludf.DUMMYFUNCTION("IMPORTRANGE(""https://docs.google.com/spreadsheets/d/1hq2y4DlBv4QXLvBwR-9pvgxKcEYt7dtr1-jKlqdvqhQ/edit"",ROW(A49)+3686 &amp; ""!Z2"")"),5.0)</f>
        <v>5</v>
      </c>
      <c r="N49" s="30">
        <v>20.0</v>
      </c>
      <c r="O49" s="31">
        <f t="shared" si="1"/>
        <v>60</v>
      </c>
      <c r="P49" s="44" t="s">
        <v>94</v>
      </c>
      <c r="Q49" s="5"/>
      <c r="R49" s="6"/>
      <c r="S49" s="57">
        <v>20.0</v>
      </c>
      <c r="T49" s="46"/>
      <c r="U49" s="47">
        <f t="shared" si="2"/>
        <v>196</v>
      </c>
      <c r="V49" s="5"/>
      <c r="W49" s="48">
        <v>110.0</v>
      </c>
      <c r="X49" s="49">
        <v>86.0</v>
      </c>
      <c r="Y49" s="55"/>
      <c r="Z49" s="7"/>
    </row>
    <row r="50">
      <c r="A50" s="40"/>
      <c r="B50" s="41">
        <v>6503736.0</v>
      </c>
      <c r="C50" s="51" t="s">
        <v>131</v>
      </c>
      <c r="D50" s="43" t="s">
        <v>32</v>
      </c>
      <c r="E50" s="52" t="s">
        <v>132</v>
      </c>
      <c r="F50" s="27">
        <f>IFERROR(__xludf.DUMMYFUNCTION("IMPORTRANGE(""https://docs.google.com/spreadsheets/d/1PfPfEwC5dEUihreebI-m2li0jy93An_sgb4FoUuUS0A/edit"",ROW(A50)+3686 &amp; ""!Z2"")
"),0.0)</f>
        <v>0</v>
      </c>
      <c r="G50" s="28">
        <f>IFERROR(__xludf.DUMMYFUNCTION("IMPORTRANGE(""https://docs.google.com/spreadsheets/d/1Nbblj-B70vD9i5jtbyRScyGBXpK_G1dtuDsnJIkMMCA/edit"",ROW(A50)+3686 &amp; ""!Z2"")"),0.0)</f>
        <v>0</v>
      </c>
      <c r="H50" s="29">
        <f>IFERROR(__xludf.DUMMYFUNCTION("IMPORTRANGE(""https://docs.google.com/spreadsheets/d/1jC_PCDgJE2oAmRjwPebkLo_nuqmEUnzBZXpPeH3akQo/edit"",ROW(A50)+3686 &amp; ""!Z2"")"),0.0)</f>
        <v>0</v>
      </c>
      <c r="I50" s="29">
        <f>IFERROR(__xludf.DUMMYFUNCTION("IMPORTRANGE(""https://docs.google.com/spreadsheets/d/1-sYqmNw9LxKJwVmpiSlNiOxHtcQzJNN_Zm5ZWpdvWxc/edit"",ROW(A50)+3686 &amp; ""!Z2"")"),0.0)</f>
        <v>0</v>
      </c>
      <c r="J50" s="29">
        <f>IFERROR(__xludf.DUMMYFUNCTION("IMPORTRANGE(""https://docs.google.com/spreadsheets/d/1ByAR-SZLYFmMZasGxoybWwey9ybLPunmZo2lxna7gz8/edit"",ROW(A50)+3686 &amp; ""!Z2"")"),14.0)</f>
        <v>14</v>
      </c>
      <c r="K50" s="29">
        <f>IFERROR(__xludf.DUMMYFUNCTION("IMPORTRANGE(""https://docs.google.com/spreadsheets/d/1u3kjep_Ay-rJA2uAkkFXuGH0h4mooEyUGnckMoeCfOs/edit"",ROW(A50)+3686 &amp; ""!Z2"")"),4.0)</f>
        <v>4</v>
      </c>
      <c r="L50" s="29">
        <f>IFERROR(__xludf.DUMMYFUNCTION("IMPORTRANGE(""https://docs.google.com/spreadsheets/d/1HTReQ1YdOqch3sGPwq1QL9QnAoK2TCkEH0Emcc83oYs/edit"",ROW(A50)+3686 &amp; ""!Z2"")"),0.0)</f>
        <v>0</v>
      </c>
      <c r="M50" s="29">
        <f>IFERROR(__xludf.DUMMYFUNCTION("IMPORTRANGE(""https://docs.google.com/spreadsheets/d/1hq2y4DlBv4QXLvBwR-9pvgxKcEYt7dtr1-jKlqdvqhQ/edit"",ROW(A50)+3686 &amp; ""!Z2"")"),0.0)</f>
        <v>0</v>
      </c>
      <c r="N50" s="30">
        <v>20.0</v>
      </c>
      <c r="O50" s="31">
        <f t="shared" si="1"/>
        <v>38</v>
      </c>
      <c r="P50" s="44" t="s">
        <v>94</v>
      </c>
      <c r="Q50" s="5"/>
      <c r="R50" s="6"/>
      <c r="S50" s="57">
        <v>20.0</v>
      </c>
      <c r="T50" s="46"/>
      <c r="U50" s="47">
        <f t="shared" si="2"/>
        <v>250</v>
      </c>
      <c r="V50" s="5"/>
      <c r="W50" s="48">
        <v>133.0</v>
      </c>
      <c r="X50" s="49">
        <v>117.0</v>
      </c>
      <c r="Y50" s="55"/>
      <c r="Z50" s="7"/>
    </row>
    <row r="51">
      <c r="A51" s="40"/>
      <c r="B51" s="41">
        <v>6503737.0</v>
      </c>
      <c r="C51" s="51" t="s">
        <v>133</v>
      </c>
      <c r="D51" s="43" t="s">
        <v>29</v>
      </c>
      <c r="E51" s="52" t="s">
        <v>134</v>
      </c>
      <c r="F51" s="27">
        <f>IFERROR(__xludf.DUMMYFUNCTION("IMPORTRANGE(""https://docs.google.com/spreadsheets/d/1PfPfEwC5dEUihreebI-m2li0jy93An_sgb4FoUuUS0A/edit"",ROW(A51)+3686 &amp; ""!Z2"")
"),0.0)</f>
        <v>0</v>
      </c>
      <c r="G51" s="28">
        <f>IFERROR(__xludf.DUMMYFUNCTION("IMPORTRANGE(""https://docs.google.com/spreadsheets/d/1Nbblj-B70vD9i5jtbyRScyGBXpK_G1dtuDsnJIkMMCA/edit"",ROW(A51)+3686 &amp; ""!Z2"")"),6.0)</f>
        <v>6</v>
      </c>
      <c r="H51" s="29">
        <f>IFERROR(__xludf.DUMMYFUNCTION("IMPORTRANGE(""https://docs.google.com/spreadsheets/d/1jC_PCDgJE2oAmRjwPebkLo_nuqmEUnzBZXpPeH3akQo/edit"",ROW(A51)+3686 &amp; ""!Z2"")"),0.0)</f>
        <v>0</v>
      </c>
      <c r="I51" s="29">
        <f>IFERROR(__xludf.DUMMYFUNCTION("IMPORTRANGE(""https://docs.google.com/spreadsheets/d/1-sYqmNw9LxKJwVmpiSlNiOxHtcQzJNN_Zm5ZWpdvWxc/edit"",ROW(A51)+3686 &amp; ""!Z2"")"),0.0)</f>
        <v>0</v>
      </c>
      <c r="J51" s="29">
        <f>IFERROR(__xludf.DUMMYFUNCTION("IMPORTRANGE(""https://docs.google.com/spreadsheets/d/1ByAR-SZLYFmMZasGxoybWwey9ybLPunmZo2lxna7gz8/edit"",ROW(A51)+3686 &amp; ""!Z2"")"),17.0)</f>
        <v>17</v>
      </c>
      <c r="K51" s="29">
        <f>IFERROR(__xludf.DUMMYFUNCTION("IMPORTRANGE(""https://docs.google.com/spreadsheets/d/1u3kjep_Ay-rJA2uAkkFXuGH0h4mooEyUGnckMoeCfOs/edit"",ROW(A51)+3686 &amp; ""!Z2"")"),6.0)</f>
        <v>6</v>
      </c>
      <c r="L51" s="29">
        <f>IFERROR(__xludf.DUMMYFUNCTION("IMPORTRANGE(""https://docs.google.com/spreadsheets/d/1HTReQ1YdOqch3sGPwq1QL9QnAoK2TCkEH0Emcc83oYs/edit"",ROW(A51)+3686 &amp; ""!Z2"")"),0.0)</f>
        <v>0</v>
      </c>
      <c r="M51" s="29">
        <f>IFERROR(__xludf.DUMMYFUNCTION("IMPORTRANGE(""https://docs.google.com/spreadsheets/d/1hq2y4DlBv4QXLvBwR-9pvgxKcEYt7dtr1-jKlqdvqhQ/edit"",ROW(A51)+3686 &amp; ""!Z2"")"),0.0)</f>
        <v>0</v>
      </c>
      <c r="N51" s="30"/>
      <c r="O51" s="31">
        <f t="shared" si="1"/>
        <v>29</v>
      </c>
      <c r="P51" s="5"/>
      <c r="Q51" s="5"/>
      <c r="R51" s="6"/>
      <c r="S51" s="5"/>
      <c r="T51" s="46"/>
      <c r="U51" s="47">
        <f t="shared" si="2"/>
        <v>199</v>
      </c>
      <c r="V51" s="5"/>
      <c r="W51" s="48">
        <v>111.0</v>
      </c>
      <c r="X51" s="49">
        <v>88.0</v>
      </c>
      <c r="Y51" s="55"/>
      <c r="Z51" s="7"/>
    </row>
    <row r="52">
      <c r="A52" s="40"/>
      <c r="B52" s="41">
        <v>6503738.0</v>
      </c>
      <c r="C52" s="51" t="s">
        <v>135</v>
      </c>
      <c r="D52" s="43" t="s">
        <v>29</v>
      </c>
      <c r="E52" s="52" t="s">
        <v>136</v>
      </c>
      <c r="F52" s="27">
        <f>IFERROR(__xludf.DUMMYFUNCTION("IMPORTRANGE(""https://docs.google.com/spreadsheets/d/1PfPfEwC5dEUihreebI-m2li0jy93An_sgb4FoUuUS0A/edit"",ROW(A52)+3686 &amp; ""!Z2"")
"),0.0)</f>
        <v>0</v>
      </c>
      <c r="G52" s="28">
        <f>IFERROR(__xludf.DUMMYFUNCTION("IMPORTRANGE(""https://docs.google.com/spreadsheets/d/1Nbblj-B70vD9i5jtbyRScyGBXpK_G1dtuDsnJIkMMCA/edit"",ROW(A52)+3686 &amp; ""!Z2"")"),6.0)</f>
        <v>6</v>
      </c>
      <c r="H52" s="29">
        <f>IFERROR(__xludf.DUMMYFUNCTION("IMPORTRANGE(""https://docs.google.com/spreadsheets/d/1jC_PCDgJE2oAmRjwPebkLo_nuqmEUnzBZXpPeH3akQo/edit"",ROW(A52)+3686 &amp; ""!Z2"")"),30.0)</f>
        <v>30</v>
      </c>
      <c r="I52" s="29">
        <f>IFERROR(__xludf.DUMMYFUNCTION("IMPORTRANGE(""https://docs.google.com/spreadsheets/d/1-sYqmNw9LxKJwVmpiSlNiOxHtcQzJNN_Zm5ZWpdvWxc/edit"",ROW(A52)+3686 &amp; ""!Z2"")"),0.0)</f>
        <v>0</v>
      </c>
      <c r="J52" s="29">
        <f>IFERROR(__xludf.DUMMYFUNCTION("IMPORTRANGE(""https://docs.google.com/spreadsheets/d/1ByAR-SZLYFmMZasGxoybWwey9ybLPunmZo2lxna7gz8/edit"",ROW(A52)+3686 &amp; ""!Z2"")"),0.0)</f>
        <v>0</v>
      </c>
      <c r="K52" s="29">
        <f>IFERROR(__xludf.DUMMYFUNCTION("IMPORTRANGE(""https://docs.google.com/spreadsheets/d/1u3kjep_Ay-rJA2uAkkFXuGH0h4mooEyUGnckMoeCfOs/edit"",ROW(A52)+3686 &amp; ""!Z2"")"),8.0)</f>
        <v>8</v>
      </c>
      <c r="L52" s="29">
        <f>IFERROR(__xludf.DUMMYFUNCTION("IMPORTRANGE(""https://docs.google.com/spreadsheets/d/1HTReQ1YdOqch3sGPwq1QL9QnAoK2TCkEH0Emcc83oYs/edit"",ROW(A52)+3686 &amp; ""!Z2"")"),8.0)</f>
        <v>8</v>
      </c>
      <c r="M52" s="29">
        <f>IFERROR(__xludf.DUMMYFUNCTION("IMPORTRANGE(""https://docs.google.com/spreadsheets/d/1hq2y4DlBv4QXLvBwR-9pvgxKcEYt7dtr1-jKlqdvqhQ/edit"",ROW(A52)+3686 &amp; ""!Z2"")"),8.0)</f>
        <v>8</v>
      </c>
      <c r="N52" s="30"/>
      <c r="O52" s="31">
        <f t="shared" si="1"/>
        <v>60</v>
      </c>
      <c r="P52" s="5"/>
      <c r="Q52" s="5"/>
      <c r="R52" s="6"/>
      <c r="S52" s="5"/>
      <c r="T52" s="46"/>
      <c r="U52" s="47">
        <f t="shared" si="2"/>
        <v>200</v>
      </c>
      <c r="V52" s="5"/>
      <c r="W52" s="48">
        <v>112.0</v>
      </c>
      <c r="X52" s="49">
        <v>88.0</v>
      </c>
      <c r="Y52" s="55"/>
      <c r="Z52" s="7"/>
    </row>
    <row r="53">
      <c r="A53" s="40"/>
      <c r="B53" s="41">
        <v>6503739.0</v>
      </c>
      <c r="C53" s="51" t="s">
        <v>137</v>
      </c>
      <c r="D53" s="43" t="s">
        <v>29</v>
      </c>
      <c r="E53" s="52" t="s">
        <v>138</v>
      </c>
      <c r="F53" s="27">
        <f>IFERROR(__xludf.DUMMYFUNCTION("IMPORTRANGE(""https://docs.google.com/spreadsheets/d/1PfPfEwC5dEUihreebI-m2li0jy93An_sgb4FoUuUS0A/edit"",ROW(A53)+3686 &amp; ""!Z2"")
"),0.0)</f>
        <v>0</v>
      </c>
      <c r="G53" s="28">
        <f>IFERROR(__xludf.DUMMYFUNCTION("IMPORTRANGE(""https://docs.google.com/spreadsheets/d/1Nbblj-B70vD9i5jtbyRScyGBXpK_G1dtuDsnJIkMMCA/edit"",ROW(A53)+3686 &amp; ""!Z2"")"),6.0)</f>
        <v>6</v>
      </c>
      <c r="H53" s="29">
        <f>IFERROR(__xludf.DUMMYFUNCTION("IMPORTRANGE(""https://docs.google.com/spreadsheets/d/1jC_PCDgJE2oAmRjwPebkLo_nuqmEUnzBZXpPeH3akQo/edit"",ROW(A53)+3686 &amp; ""!Z2"")"),0.0)</f>
        <v>0</v>
      </c>
      <c r="I53" s="29">
        <f>IFERROR(__xludf.DUMMYFUNCTION("IMPORTRANGE(""https://docs.google.com/spreadsheets/d/1-sYqmNw9LxKJwVmpiSlNiOxHtcQzJNN_Zm5ZWpdvWxc/edit"",ROW(A53)+3686 &amp; ""!Z2"")"),0.0)</f>
        <v>0</v>
      </c>
      <c r="J53" s="29">
        <f>IFERROR(__xludf.DUMMYFUNCTION("IMPORTRANGE(""https://docs.google.com/spreadsheets/d/1ByAR-SZLYFmMZasGxoybWwey9ybLPunmZo2lxna7gz8/edit"",ROW(A53)+3686 &amp; ""!Z2"")"),21.0)</f>
        <v>21</v>
      </c>
      <c r="K53" s="29">
        <f>IFERROR(__xludf.DUMMYFUNCTION("IMPORTRANGE(""https://docs.google.com/spreadsheets/d/1u3kjep_Ay-rJA2uAkkFXuGH0h4mooEyUGnckMoeCfOs/edit"",ROW(A53)+3686 &amp; ""!Z2"")"),0.0)</f>
        <v>0</v>
      </c>
      <c r="L53" s="29">
        <f>IFERROR(__xludf.DUMMYFUNCTION("IMPORTRANGE(""https://docs.google.com/spreadsheets/d/1HTReQ1YdOqch3sGPwq1QL9QnAoK2TCkEH0Emcc83oYs/edit"",ROW(A53)+3686 &amp; ""!Z2"")"),0.0)</f>
        <v>0</v>
      </c>
      <c r="M53" s="29">
        <f>IFERROR(__xludf.DUMMYFUNCTION("IMPORTRANGE(""https://docs.google.com/spreadsheets/d/1hq2y4DlBv4QXLvBwR-9pvgxKcEYt7dtr1-jKlqdvqhQ/edit"",ROW(A53)+3686 &amp; ""!Z2"")"),0.0)</f>
        <v>0</v>
      </c>
      <c r="N53" s="30"/>
      <c r="O53" s="31">
        <f t="shared" si="1"/>
        <v>27</v>
      </c>
      <c r="P53" s="5"/>
      <c r="Q53" s="5"/>
      <c r="R53" s="6"/>
      <c r="S53" s="5"/>
      <c r="T53" s="46"/>
      <c r="U53" s="47">
        <f t="shared" si="2"/>
        <v>230</v>
      </c>
      <c r="V53" s="5"/>
      <c r="W53" s="48">
        <v>127.0</v>
      </c>
      <c r="X53" s="49">
        <v>103.0</v>
      </c>
      <c r="Y53" s="55"/>
      <c r="Z53" s="7"/>
    </row>
    <row r="54">
      <c r="A54" s="40"/>
      <c r="B54" s="41">
        <v>6503740.0</v>
      </c>
      <c r="C54" s="51" t="s">
        <v>139</v>
      </c>
      <c r="D54" s="43" t="s">
        <v>29</v>
      </c>
      <c r="E54" s="52" t="s">
        <v>140</v>
      </c>
      <c r="F54" s="27">
        <f>IFERROR(__xludf.DUMMYFUNCTION("IMPORTRANGE(""https://docs.google.com/spreadsheets/d/1PfPfEwC5dEUihreebI-m2li0jy93An_sgb4FoUuUS0A/edit"",ROW(A54)+3686 &amp; ""!Z2"")
"),0.0)</f>
        <v>0</v>
      </c>
      <c r="G54" s="28">
        <f>IFERROR(__xludf.DUMMYFUNCTION("IMPORTRANGE(""https://docs.google.com/spreadsheets/d/1Nbblj-B70vD9i5jtbyRScyGBXpK_G1dtuDsnJIkMMCA/edit"",ROW(A54)+3686 &amp; ""!Z2"")"),6.0)</f>
        <v>6</v>
      </c>
      <c r="H54" s="29">
        <f>IFERROR(__xludf.DUMMYFUNCTION("IMPORTRANGE(""https://docs.google.com/spreadsheets/d/1jC_PCDgJE2oAmRjwPebkLo_nuqmEUnzBZXpPeH3akQo/edit"",ROW(A54)+3686 &amp; ""!Z2"")"),0.0)</f>
        <v>0</v>
      </c>
      <c r="I54" s="29">
        <f>IFERROR(__xludf.DUMMYFUNCTION("IMPORTRANGE(""https://docs.google.com/spreadsheets/d/1-sYqmNw9LxKJwVmpiSlNiOxHtcQzJNN_Zm5ZWpdvWxc/edit"",ROW(A54)+3686 &amp; ""!Z2"")"),0.0)</f>
        <v>0</v>
      </c>
      <c r="J54" s="29">
        <f>IFERROR(__xludf.DUMMYFUNCTION("IMPORTRANGE(""https://docs.google.com/spreadsheets/d/1ByAR-SZLYFmMZasGxoybWwey9ybLPunmZo2lxna7gz8/edit"",ROW(A54)+3686 &amp; ""!Z2"")"),4.0)</f>
        <v>4</v>
      </c>
      <c r="K54" s="29">
        <f>IFERROR(__xludf.DUMMYFUNCTION("IMPORTRANGE(""https://docs.google.com/spreadsheets/d/1u3kjep_Ay-rJA2uAkkFXuGH0h4mooEyUGnckMoeCfOs/edit"",ROW(A54)+3686 &amp; ""!Z2"")"),8.0)</f>
        <v>8</v>
      </c>
      <c r="L54" s="29">
        <f>IFERROR(__xludf.DUMMYFUNCTION("IMPORTRANGE(""https://docs.google.com/spreadsheets/d/1HTReQ1YdOqch3sGPwq1QL9QnAoK2TCkEH0Emcc83oYs/edit"",ROW(A54)+3686 &amp; ""!Z2"")"),4.0)</f>
        <v>4</v>
      </c>
      <c r="M54" s="29">
        <f>IFERROR(__xludf.DUMMYFUNCTION("IMPORTRANGE(""https://docs.google.com/spreadsheets/d/1hq2y4DlBv4QXLvBwR-9pvgxKcEYt7dtr1-jKlqdvqhQ/edit"",ROW(A54)+3686 &amp; ""!Z2"")"),4.0)</f>
        <v>4</v>
      </c>
      <c r="N54" s="30">
        <v>20.0</v>
      </c>
      <c r="O54" s="31">
        <f t="shared" si="1"/>
        <v>46</v>
      </c>
      <c r="P54" s="44" t="s">
        <v>42</v>
      </c>
      <c r="Q54" s="5"/>
      <c r="R54" s="6"/>
      <c r="S54" s="57">
        <v>20.0</v>
      </c>
      <c r="T54" s="46"/>
      <c r="U54" s="47">
        <f t="shared" si="2"/>
        <v>222</v>
      </c>
      <c r="V54" s="5"/>
      <c r="W54" s="48">
        <v>123.0</v>
      </c>
      <c r="X54" s="49">
        <v>99.0</v>
      </c>
      <c r="Y54" s="55"/>
      <c r="Z54" s="7"/>
    </row>
    <row r="55">
      <c r="A55" s="40"/>
      <c r="B55" s="41">
        <v>6503741.0</v>
      </c>
      <c r="C55" s="51" t="s">
        <v>141</v>
      </c>
      <c r="D55" s="43" t="s">
        <v>29</v>
      </c>
      <c r="E55" s="52" t="s">
        <v>142</v>
      </c>
      <c r="F55" s="27">
        <f>IFERROR(__xludf.DUMMYFUNCTION("IMPORTRANGE(""https://docs.google.com/spreadsheets/d/1PfPfEwC5dEUihreebI-m2li0jy93An_sgb4FoUuUS0A/edit"",ROW(A55)+3686 &amp; ""!Z2"")
"),0.0)</f>
        <v>0</v>
      </c>
      <c r="G55" s="28">
        <f>IFERROR(__xludf.DUMMYFUNCTION("IMPORTRANGE(""https://docs.google.com/spreadsheets/d/1Nbblj-B70vD9i5jtbyRScyGBXpK_G1dtuDsnJIkMMCA/edit"",ROW(A55)+3686 &amp; ""!Z2"")"),6.0)</f>
        <v>6</v>
      </c>
      <c r="H55" s="29">
        <f>IFERROR(__xludf.DUMMYFUNCTION("IMPORTRANGE(""https://docs.google.com/spreadsheets/d/1jC_PCDgJE2oAmRjwPebkLo_nuqmEUnzBZXpPeH3akQo/edit"",ROW(A55)+3686 &amp; ""!Z2"")"),0.0)</f>
        <v>0</v>
      </c>
      <c r="I55" s="29">
        <f>IFERROR(__xludf.DUMMYFUNCTION("IMPORTRANGE(""https://docs.google.com/spreadsheets/d/1-sYqmNw9LxKJwVmpiSlNiOxHtcQzJNN_Zm5ZWpdvWxc/edit"",ROW(A55)+3686 &amp; ""!Z2"")"),0.0)</f>
        <v>0</v>
      </c>
      <c r="J55" s="29">
        <f>IFERROR(__xludf.DUMMYFUNCTION("IMPORTRANGE(""https://docs.google.com/spreadsheets/d/1ByAR-SZLYFmMZasGxoybWwey9ybLPunmZo2lxna7gz8/edit"",ROW(A55)+3686 &amp; ""!Z2"")"),11.0)</f>
        <v>11</v>
      </c>
      <c r="K55" s="29">
        <f>IFERROR(__xludf.DUMMYFUNCTION("IMPORTRANGE(""https://docs.google.com/spreadsheets/d/1u3kjep_Ay-rJA2uAkkFXuGH0h4mooEyUGnckMoeCfOs/edit"",ROW(A55)+3686 &amp; ""!Z2"")"),9.0)</f>
        <v>9</v>
      </c>
      <c r="L55" s="29">
        <f>IFERROR(__xludf.DUMMYFUNCTION("IMPORTRANGE(""https://docs.google.com/spreadsheets/d/1HTReQ1YdOqch3sGPwq1QL9QnAoK2TCkEH0Emcc83oYs/edit"",ROW(A55)+3686 &amp; ""!Z2"")"),0.0)</f>
        <v>0</v>
      </c>
      <c r="M55" s="29">
        <f>IFERROR(__xludf.DUMMYFUNCTION("IMPORTRANGE(""https://docs.google.com/spreadsheets/d/1hq2y4DlBv4QXLvBwR-9pvgxKcEYt7dtr1-jKlqdvqhQ/edit"",ROW(A55)+3686 &amp; ""!Z2"")"),0.0)</f>
        <v>0</v>
      </c>
      <c r="N55" s="30"/>
      <c r="O55" s="31">
        <f t="shared" si="1"/>
        <v>26</v>
      </c>
      <c r="P55" s="5"/>
      <c r="Q55" s="5"/>
      <c r="R55" s="6"/>
      <c r="S55" s="5"/>
      <c r="T55" s="46"/>
      <c r="U55" s="47">
        <f t="shared" si="2"/>
        <v>172</v>
      </c>
      <c r="V55" s="5"/>
      <c r="W55" s="48">
        <v>98.0</v>
      </c>
      <c r="X55" s="49">
        <v>74.0</v>
      </c>
      <c r="Y55" s="55"/>
      <c r="Z55" s="7"/>
    </row>
    <row r="56">
      <c r="A56" s="40"/>
      <c r="B56" s="41">
        <v>6503742.0</v>
      </c>
      <c r="C56" s="58" t="s">
        <v>143</v>
      </c>
      <c r="D56" s="43" t="s">
        <v>29</v>
      </c>
      <c r="E56" s="52" t="s">
        <v>144</v>
      </c>
      <c r="F56" s="27">
        <f>IFERROR(__xludf.DUMMYFUNCTION("IMPORTRANGE(""https://docs.google.com/spreadsheets/d/1PfPfEwC5dEUihreebI-m2li0jy93An_sgb4FoUuUS0A/edit"",ROW(A56)+3686 &amp; ""!Z2"")
"),0.0)</f>
        <v>0</v>
      </c>
      <c r="G56" s="28">
        <f>IFERROR(__xludf.DUMMYFUNCTION("IMPORTRANGE(""https://docs.google.com/spreadsheets/d/1Nbblj-B70vD9i5jtbyRScyGBXpK_G1dtuDsnJIkMMCA/edit"",ROW(A56)+3686 &amp; ""!Z2"")"),0.0)</f>
        <v>0</v>
      </c>
      <c r="H56" s="29">
        <f>IFERROR(__xludf.DUMMYFUNCTION("IMPORTRANGE(""https://docs.google.com/spreadsheets/d/1jC_PCDgJE2oAmRjwPebkLo_nuqmEUnzBZXpPeH3akQo/edit"",ROW(A56)+3686 &amp; ""!Z2"")"),0.0)</f>
        <v>0</v>
      </c>
      <c r="I56" s="29">
        <f>IFERROR(__xludf.DUMMYFUNCTION("IMPORTRANGE(""https://docs.google.com/spreadsheets/d/1-sYqmNw9LxKJwVmpiSlNiOxHtcQzJNN_Zm5ZWpdvWxc/edit"",ROW(A56)+3686 &amp; ""!Z2"")"),0.0)</f>
        <v>0</v>
      </c>
      <c r="J56" s="29">
        <f>IFERROR(__xludf.DUMMYFUNCTION("IMPORTRANGE(""https://docs.google.com/spreadsheets/d/1ByAR-SZLYFmMZasGxoybWwey9ybLPunmZo2lxna7gz8/edit"",ROW(A56)+3686 &amp; ""!Z2"")"),4.0)</f>
        <v>4</v>
      </c>
      <c r="K56" s="29">
        <f>IFERROR(__xludf.DUMMYFUNCTION("IMPORTRANGE(""https://docs.google.com/spreadsheets/d/1u3kjep_Ay-rJA2uAkkFXuGH0h4mooEyUGnckMoeCfOs/edit"",ROW(A56)+3686 &amp; ""!Z2"")"),8.0)</f>
        <v>8</v>
      </c>
      <c r="L56" s="29">
        <f>IFERROR(__xludf.DUMMYFUNCTION("IMPORTRANGE(""https://docs.google.com/spreadsheets/d/1HTReQ1YdOqch3sGPwq1QL9QnAoK2TCkEH0Emcc83oYs/edit"",ROW(A56)+3686 &amp; ""!Z2"")"),0.0)</f>
        <v>0</v>
      </c>
      <c r="M56" s="29">
        <f>IFERROR(__xludf.DUMMYFUNCTION("IMPORTRANGE(""https://docs.google.com/spreadsheets/d/1hq2y4DlBv4QXLvBwR-9pvgxKcEYt7dtr1-jKlqdvqhQ/edit"",ROW(A56)+3686 &amp; ""!Z2"")"),0.0)</f>
        <v>0</v>
      </c>
      <c r="N56" s="30">
        <v>20.0</v>
      </c>
      <c r="O56" s="31">
        <f t="shared" si="1"/>
        <v>32</v>
      </c>
      <c r="P56" s="59" t="s">
        <v>145</v>
      </c>
      <c r="Q56" s="5"/>
      <c r="R56" s="6"/>
      <c r="S56" s="57">
        <v>20.0</v>
      </c>
      <c r="T56" s="46"/>
      <c r="U56" s="47">
        <f t="shared" si="2"/>
        <v>234</v>
      </c>
      <c r="V56" s="5"/>
      <c r="W56" s="48">
        <v>129.0</v>
      </c>
      <c r="X56" s="49">
        <v>105.0</v>
      </c>
      <c r="Y56" s="55"/>
      <c r="Z56" s="7"/>
    </row>
    <row r="57">
      <c r="A57" s="40"/>
      <c r="B57" s="41">
        <v>6503743.0</v>
      </c>
      <c r="C57" s="51" t="s">
        <v>146</v>
      </c>
      <c r="D57" s="43" t="s">
        <v>29</v>
      </c>
      <c r="E57" s="52" t="s">
        <v>147</v>
      </c>
      <c r="F57" s="27">
        <f>IFERROR(__xludf.DUMMYFUNCTION("IMPORTRANGE(""https://docs.google.com/spreadsheets/d/1PfPfEwC5dEUihreebI-m2li0jy93An_sgb4FoUuUS0A/edit"",ROW(A57)+3686 &amp; ""!Z2"")
"),0.0)</f>
        <v>0</v>
      </c>
      <c r="G57" s="28">
        <f>IFERROR(__xludf.DUMMYFUNCTION("IMPORTRANGE(""https://docs.google.com/spreadsheets/d/1Nbblj-B70vD9i5jtbyRScyGBXpK_G1dtuDsnJIkMMCA/edit"",ROW(A57)+3686 &amp; ""!Z2"")"),6.0)</f>
        <v>6</v>
      </c>
      <c r="H57" s="29">
        <f>IFERROR(__xludf.DUMMYFUNCTION("IMPORTRANGE(""https://docs.google.com/spreadsheets/d/1jC_PCDgJE2oAmRjwPebkLo_nuqmEUnzBZXpPeH3akQo/edit"",ROW(A57)+3686 &amp; ""!Z2"")"),0.0)</f>
        <v>0</v>
      </c>
      <c r="I57" s="29">
        <f>IFERROR(__xludf.DUMMYFUNCTION("IMPORTRANGE(""https://docs.google.com/spreadsheets/d/1-sYqmNw9LxKJwVmpiSlNiOxHtcQzJNN_Zm5ZWpdvWxc/edit"",ROW(A57)+3686 &amp; ""!Z2"")"),0.0)</f>
        <v>0</v>
      </c>
      <c r="J57" s="29">
        <f>IFERROR(__xludf.DUMMYFUNCTION("IMPORTRANGE(""https://docs.google.com/spreadsheets/d/1ByAR-SZLYFmMZasGxoybWwey9ybLPunmZo2lxna7gz8/edit"",ROW(A57)+3686 &amp; ""!Z2"")"),0.0)</f>
        <v>0</v>
      </c>
      <c r="K57" s="29">
        <f>IFERROR(__xludf.DUMMYFUNCTION("IMPORTRANGE(""https://docs.google.com/spreadsheets/d/1u3kjep_Ay-rJA2uAkkFXuGH0h4mooEyUGnckMoeCfOs/edit"",ROW(A57)+3686 &amp; ""!Z2"")"),8.0)</f>
        <v>8</v>
      </c>
      <c r="L57" s="29">
        <f>IFERROR(__xludf.DUMMYFUNCTION("IMPORTRANGE(""https://docs.google.com/spreadsheets/d/1HTReQ1YdOqch3sGPwq1QL9QnAoK2TCkEH0Emcc83oYs/edit"",ROW(A57)+3686 &amp; ""!Z2"")"),5.0)</f>
        <v>5</v>
      </c>
      <c r="M57" s="29">
        <f>IFERROR(__xludf.DUMMYFUNCTION("IMPORTRANGE(""https://docs.google.com/spreadsheets/d/1hq2y4DlBv4QXLvBwR-9pvgxKcEYt7dtr1-jKlqdvqhQ/edit"",ROW(A57)+3686 &amp; ""!Z2"")"),5.0)</f>
        <v>5</v>
      </c>
      <c r="N57" s="30">
        <v>20.0</v>
      </c>
      <c r="O57" s="31">
        <f t="shared" si="1"/>
        <v>44</v>
      </c>
      <c r="P57" s="44" t="s">
        <v>42</v>
      </c>
      <c r="Q57" s="5"/>
      <c r="R57" s="6"/>
      <c r="S57" s="57">
        <v>20.0</v>
      </c>
      <c r="T57" s="46"/>
      <c r="U57" s="47">
        <f t="shared" si="2"/>
        <v>212</v>
      </c>
      <c r="V57" s="5"/>
      <c r="W57" s="48">
        <v>120.0</v>
      </c>
      <c r="X57" s="49">
        <v>92.0</v>
      </c>
      <c r="Y57" s="55"/>
      <c r="Z57" s="7"/>
    </row>
    <row r="58">
      <c r="A58" s="40"/>
      <c r="B58" s="41">
        <v>6503744.0</v>
      </c>
      <c r="C58" s="51" t="s">
        <v>148</v>
      </c>
      <c r="D58" s="43" t="s">
        <v>29</v>
      </c>
      <c r="E58" s="52" t="s">
        <v>149</v>
      </c>
      <c r="F58" s="27">
        <f>IFERROR(__xludf.DUMMYFUNCTION("IMPORTRANGE(""https://docs.google.com/spreadsheets/d/1PfPfEwC5dEUihreebI-m2li0jy93An_sgb4FoUuUS0A/edit"",ROW(A58)+3686 &amp; ""!Z2"")
"),0.0)</f>
        <v>0</v>
      </c>
      <c r="G58" s="28">
        <f>IFERROR(__xludf.DUMMYFUNCTION("IMPORTRANGE(""https://docs.google.com/spreadsheets/d/1Nbblj-B70vD9i5jtbyRScyGBXpK_G1dtuDsnJIkMMCA/edit"",ROW(A58)+3686 &amp; ""!Z2"")"),6.0)</f>
        <v>6</v>
      </c>
      <c r="H58" s="29">
        <f>IFERROR(__xludf.DUMMYFUNCTION("IMPORTRANGE(""https://docs.google.com/spreadsheets/d/1jC_PCDgJE2oAmRjwPebkLo_nuqmEUnzBZXpPeH3akQo/edit"",ROW(A58)+3686 &amp; ""!Z2"")"),0.0)</f>
        <v>0</v>
      </c>
      <c r="I58" s="29">
        <f>IFERROR(__xludf.DUMMYFUNCTION("IMPORTRANGE(""https://docs.google.com/spreadsheets/d/1-sYqmNw9LxKJwVmpiSlNiOxHtcQzJNN_Zm5ZWpdvWxc/edit"",ROW(A58)+3686 &amp; ""!Z2"")"),0.0)</f>
        <v>0</v>
      </c>
      <c r="J58" s="29">
        <f>IFERROR(__xludf.DUMMYFUNCTION("IMPORTRANGE(""https://docs.google.com/spreadsheets/d/1ByAR-SZLYFmMZasGxoybWwey9ybLPunmZo2lxna7gz8/edit"",ROW(A58)+3686 &amp; ""!Z2"")"),0.0)</f>
        <v>0</v>
      </c>
      <c r="K58" s="29">
        <f>IFERROR(__xludf.DUMMYFUNCTION("IMPORTRANGE(""https://docs.google.com/spreadsheets/d/1u3kjep_Ay-rJA2uAkkFXuGH0h4mooEyUGnckMoeCfOs/edit"",ROW(A58)+3686 &amp; ""!Z2"")"),8.0)</f>
        <v>8</v>
      </c>
      <c r="L58" s="29">
        <f>IFERROR(__xludf.DUMMYFUNCTION("IMPORTRANGE(""https://docs.google.com/spreadsheets/d/1HTReQ1YdOqch3sGPwq1QL9QnAoK2TCkEH0Emcc83oYs/edit"",ROW(A58)+3686 &amp; ""!Z2"")"),4.0)</f>
        <v>4</v>
      </c>
      <c r="M58" s="29">
        <f>IFERROR(__xludf.DUMMYFUNCTION("IMPORTRANGE(""https://docs.google.com/spreadsheets/d/1hq2y4DlBv4QXLvBwR-9pvgxKcEYt7dtr1-jKlqdvqhQ/edit"",ROW(A58)+3686 &amp; ""!Z2"")"),4.0)</f>
        <v>4</v>
      </c>
      <c r="N58" s="30">
        <v>20.0</v>
      </c>
      <c r="O58" s="31">
        <f t="shared" si="1"/>
        <v>42</v>
      </c>
      <c r="P58" s="59" t="s">
        <v>91</v>
      </c>
      <c r="Q58" s="5"/>
      <c r="R58" s="6"/>
      <c r="S58" s="57">
        <v>20.0</v>
      </c>
      <c r="T58" s="46"/>
      <c r="U58" s="47">
        <f t="shared" si="2"/>
        <v>260</v>
      </c>
      <c r="V58" s="5"/>
      <c r="W58" s="48">
        <v>142.0</v>
      </c>
      <c r="X58" s="49">
        <v>118.0</v>
      </c>
      <c r="Y58" s="55"/>
      <c r="Z58" s="7"/>
    </row>
    <row r="59">
      <c r="A59" s="40"/>
      <c r="B59" s="41">
        <v>6503745.0</v>
      </c>
      <c r="C59" s="51" t="s">
        <v>150</v>
      </c>
      <c r="D59" s="43" t="s">
        <v>29</v>
      </c>
      <c r="E59" s="52" t="s">
        <v>151</v>
      </c>
      <c r="F59" s="27">
        <f>IFERROR(__xludf.DUMMYFUNCTION("IMPORTRANGE(""https://docs.google.com/spreadsheets/d/1PfPfEwC5dEUihreebI-m2li0jy93An_sgb4FoUuUS0A/edit"",ROW(A59)+3686 &amp; ""!Z2"")
"),8.0)</f>
        <v>8</v>
      </c>
      <c r="G59" s="28">
        <f>IFERROR(__xludf.DUMMYFUNCTION("IMPORTRANGE(""https://docs.google.com/spreadsheets/d/1Nbblj-B70vD9i5jtbyRScyGBXpK_G1dtuDsnJIkMMCA/edit"",ROW(A59)+3686 &amp; ""!Z2"")"),6.0)</f>
        <v>6</v>
      </c>
      <c r="H59" s="29">
        <f>IFERROR(__xludf.DUMMYFUNCTION("IMPORTRANGE(""https://docs.google.com/spreadsheets/d/1jC_PCDgJE2oAmRjwPebkLo_nuqmEUnzBZXpPeH3akQo/edit"",ROW(A59)+3686 &amp; ""!Z2"")"),0.0)</f>
        <v>0</v>
      </c>
      <c r="I59" s="29">
        <f>IFERROR(__xludf.DUMMYFUNCTION("IMPORTRANGE(""https://docs.google.com/spreadsheets/d/1-sYqmNw9LxKJwVmpiSlNiOxHtcQzJNN_Zm5ZWpdvWxc/edit"",ROW(A59)+3686 &amp; ""!Z2"")"),0.0)</f>
        <v>0</v>
      </c>
      <c r="J59" s="29">
        <f>IFERROR(__xludf.DUMMYFUNCTION("IMPORTRANGE(""https://docs.google.com/spreadsheets/d/1ByAR-SZLYFmMZasGxoybWwey9ybLPunmZo2lxna7gz8/edit"",ROW(A59)+3686 &amp; ""!Z2"")"),26.0)</f>
        <v>26</v>
      </c>
      <c r="K59" s="29">
        <f>IFERROR(__xludf.DUMMYFUNCTION("IMPORTRANGE(""https://docs.google.com/spreadsheets/d/1u3kjep_Ay-rJA2uAkkFXuGH0h4mooEyUGnckMoeCfOs/edit"",ROW(A59)+3686 &amp; ""!Z2"")"),0.0)</f>
        <v>0</v>
      </c>
      <c r="L59" s="29">
        <f>IFERROR(__xludf.DUMMYFUNCTION("IMPORTRANGE(""https://docs.google.com/spreadsheets/d/1HTReQ1YdOqch3sGPwq1QL9QnAoK2TCkEH0Emcc83oYs/edit"",ROW(A59)+3686 &amp; ""!Z2"")"),0.0)</f>
        <v>0</v>
      </c>
      <c r="M59" s="29">
        <f>IFERROR(__xludf.DUMMYFUNCTION("IMPORTRANGE(""https://docs.google.com/spreadsheets/d/1hq2y4DlBv4QXLvBwR-9pvgxKcEYt7dtr1-jKlqdvqhQ/edit"",ROW(A59)+3686 &amp; ""!Z2"")"),0.0)</f>
        <v>0</v>
      </c>
      <c r="N59" s="30"/>
      <c r="O59" s="31">
        <f t="shared" si="1"/>
        <v>40</v>
      </c>
      <c r="P59" s="5"/>
      <c r="Q59" s="5"/>
      <c r="R59" s="6"/>
      <c r="S59" s="5"/>
      <c r="T59" s="46"/>
      <c r="U59" s="47">
        <f t="shared" si="2"/>
        <v>178</v>
      </c>
      <c r="V59" s="5"/>
      <c r="W59" s="48">
        <v>101.0</v>
      </c>
      <c r="X59" s="49">
        <v>77.0</v>
      </c>
      <c r="Y59" s="55"/>
      <c r="Z59" s="7"/>
    </row>
    <row r="60">
      <c r="A60" s="40"/>
      <c r="B60" s="41">
        <v>6503746.0</v>
      </c>
      <c r="C60" s="51" t="s">
        <v>152</v>
      </c>
      <c r="D60" s="43" t="s">
        <v>29</v>
      </c>
      <c r="E60" s="52" t="s">
        <v>153</v>
      </c>
      <c r="F60" s="27">
        <f>IFERROR(__xludf.DUMMYFUNCTION("IMPORTRANGE(""https://docs.google.com/spreadsheets/d/1PfPfEwC5dEUihreebI-m2li0jy93An_sgb4FoUuUS0A/edit"",ROW(A60)+3686 &amp; ""!Z2"")
"),0.0)</f>
        <v>0</v>
      </c>
      <c r="G60" s="28">
        <f>IFERROR(__xludf.DUMMYFUNCTION("IMPORTRANGE(""https://docs.google.com/spreadsheets/d/1Nbblj-B70vD9i5jtbyRScyGBXpK_G1dtuDsnJIkMMCA/edit"",ROW(A60)+3686 &amp; ""!Z2"")"),6.0)</f>
        <v>6</v>
      </c>
      <c r="H60" s="29">
        <f>IFERROR(__xludf.DUMMYFUNCTION("IMPORTRANGE(""https://docs.google.com/spreadsheets/d/1jC_PCDgJE2oAmRjwPebkLo_nuqmEUnzBZXpPeH3akQo/edit"",ROW(A60)+3686 &amp; ""!Z2"")"),0.0)</f>
        <v>0</v>
      </c>
      <c r="I60" s="29">
        <f>IFERROR(__xludf.DUMMYFUNCTION("IMPORTRANGE(""https://docs.google.com/spreadsheets/d/1-sYqmNw9LxKJwVmpiSlNiOxHtcQzJNN_Zm5ZWpdvWxc/edit"",ROW(A60)+3686 &amp; ""!Z2"")"),0.0)</f>
        <v>0</v>
      </c>
      <c r="J60" s="29">
        <f>IFERROR(__xludf.DUMMYFUNCTION("IMPORTRANGE(""https://docs.google.com/spreadsheets/d/1ByAR-SZLYFmMZasGxoybWwey9ybLPunmZo2lxna7gz8/edit"",ROW(A60)+3686 &amp; ""!Z2"")"),4.0)</f>
        <v>4</v>
      </c>
      <c r="K60" s="29">
        <f>IFERROR(__xludf.DUMMYFUNCTION("IMPORTRANGE(""https://docs.google.com/spreadsheets/d/1u3kjep_Ay-rJA2uAkkFXuGH0h4mooEyUGnckMoeCfOs/edit"",ROW(A60)+3686 &amp; ""!Z2"")"),12.0)</f>
        <v>12</v>
      </c>
      <c r="L60" s="29">
        <f>IFERROR(__xludf.DUMMYFUNCTION("IMPORTRANGE(""https://docs.google.com/spreadsheets/d/1HTReQ1YdOqch3sGPwq1QL9QnAoK2TCkEH0Emcc83oYs/edit"",ROW(A60)+3686 &amp; ""!Z2"")"),4.0)</f>
        <v>4</v>
      </c>
      <c r="M60" s="29">
        <f>IFERROR(__xludf.DUMMYFUNCTION("IMPORTRANGE(""https://docs.google.com/spreadsheets/d/1hq2y4DlBv4QXLvBwR-9pvgxKcEYt7dtr1-jKlqdvqhQ/edit"",ROW(A60)+3686 &amp; ""!Z2"")"),4.0)</f>
        <v>4</v>
      </c>
      <c r="N60" s="30"/>
      <c r="O60" s="31">
        <f t="shared" si="1"/>
        <v>30</v>
      </c>
      <c r="P60" s="5"/>
      <c r="Q60" s="5"/>
      <c r="R60" s="6"/>
      <c r="S60" s="5"/>
      <c r="T60" s="46"/>
      <c r="U60" s="47">
        <f t="shared" si="2"/>
        <v>200</v>
      </c>
      <c r="V60" s="5"/>
      <c r="W60" s="48">
        <v>112.0</v>
      </c>
      <c r="X60" s="49">
        <v>88.0</v>
      </c>
      <c r="Y60" s="55"/>
      <c r="Z60" s="7"/>
    </row>
    <row r="61">
      <c r="A61" s="40"/>
      <c r="B61" s="41">
        <v>6503747.0</v>
      </c>
      <c r="C61" s="51" t="s">
        <v>154</v>
      </c>
      <c r="D61" s="43" t="s">
        <v>29</v>
      </c>
      <c r="E61" s="52" t="s">
        <v>155</v>
      </c>
      <c r="F61" s="27">
        <f>IFERROR(__xludf.DUMMYFUNCTION("IMPORTRANGE(""https://docs.google.com/spreadsheets/d/1PfPfEwC5dEUihreebI-m2li0jy93An_sgb4FoUuUS0A/edit"",ROW(A61)+3686 &amp; ""!Z2"")
"),0.0)</f>
        <v>0</v>
      </c>
      <c r="G61" s="28">
        <f>IFERROR(__xludf.DUMMYFUNCTION("IMPORTRANGE(""https://docs.google.com/spreadsheets/d/1Nbblj-B70vD9i5jtbyRScyGBXpK_G1dtuDsnJIkMMCA/edit"",ROW(A61)+3686 &amp; ""!Z2"")"),12.0)</f>
        <v>12</v>
      </c>
      <c r="H61" s="29">
        <f>IFERROR(__xludf.DUMMYFUNCTION("IMPORTRANGE(""https://docs.google.com/spreadsheets/d/1jC_PCDgJE2oAmRjwPebkLo_nuqmEUnzBZXpPeH3akQo/edit"",ROW(A61)+3686 &amp; ""!Z2"")"),0.0)</f>
        <v>0</v>
      </c>
      <c r="I61" s="29">
        <f>IFERROR(__xludf.DUMMYFUNCTION("IMPORTRANGE(""https://docs.google.com/spreadsheets/d/1-sYqmNw9LxKJwVmpiSlNiOxHtcQzJNN_Zm5ZWpdvWxc/edit"",ROW(A61)+3686 &amp; ""!Z2"")"),0.0)</f>
        <v>0</v>
      </c>
      <c r="J61" s="29">
        <f>IFERROR(__xludf.DUMMYFUNCTION("IMPORTRANGE(""https://docs.google.com/spreadsheets/d/1ByAR-SZLYFmMZasGxoybWwey9ybLPunmZo2lxna7gz8/edit"",ROW(A61)+3686 &amp; ""!Z2"")"),11.0)</f>
        <v>11</v>
      </c>
      <c r="K61" s="29">
        <f>IFERROR(__xludf.DUMMYFUNCTION("IMPORTRANGE(""https://docs.google.com/spreadsheets/d/1u3kjep_Ay-rJA2uAkkFXuGH0h4mooEyUGnckMoeCfOs/edit"",ROW(A61)+3686 &amp; ""!Z2"")"),4.0)</f>
        <v>4</v>
      </c>
      <c r="L61" s="29">
        <f>IFERROR(__xludf.DUMMYFUNCTION("IMPORTRANGE(""https://docs.google.com/spreadsheets/d/1HTReQ1YdOqch3sGPwq1QL9QnAoK2TCkEH0Emcc83oYs/edit"",ROW(A61)+3686 &amp; ""!Z2"")"),0.0)</f>
        <v>0</v>
      </c>
      <c r="M61" s="29">
        <f>IFERROR(__xludf.DUMMYFUNCTION("IMPORTRANGE(""https://docs.google.com/spreadsheets/d/1hq2y4DlBv4QXLvBwR-9pvgxKcEYt7dtr1-jKlqdvqhQ/edit"",ROW(A61)+3686 &amp; ""!Z2"")"),0.0)</f>
        <v>0</v>
      </c>
      <c r="N61" s="30">
        <v>20.0</v>
      </c>
      <c r="O61" s="31">
        <f t="shared" si="1"/>
        <v>47</v>
      </c>
      <c r="P61" s="76" t="s">
        <v>156</v>
      </c>
      <c r="Q61" s="5"/>
      <c r="R61" s="6"/>
      <c r="S61" s="5"/>
      <c r="T61" s="46"/>
      <c r="U61" s="47">
        <f t="shared" si="2"/>
        <v>166</v>
      </c>
      <c r="V61" s="5"/>
      <c r="W61" s="48">
        <v>93.0</v>
      </c>
      <c r="X61" s="49">
        <v>73.0</v>
      </c>
      <c r="Y61" s="55"/>
      <c r="Z61" s="7"/>
    </row>
    <row r="62">
      <c r="A62" s="40"/>
      <c r="B62" s="41">
        <v>6503748.0</v>
      </c>
      <c r="C62" s="51" t="s">
        <v>157</v>
      </c>
      <c r="D62" s="43" t="s">
        <v>29</v>
      </c>
      <c r="E62" s="52" t="s">
        <v>158</v>
      </c>
      <c r="F62" s="27">
        <f>IFERROR(__xludf.DUMMYFUNCTION("IMPORTRANGE(""https://docs.google.com/spreadsheets/d/1PfPfEwC5dEUihreebI-m2li0jy93An_sgb4FoUuUS0A/edit"",ROW(A62)+3686 &amp; ""!Z2"")
"),0.0)</f>
        <v>0</v>
      </c>
      <c r="G62" s="28">
        <f>IFERROR(__xludf.DUMMYFUNCTION("IMPORTRANGE(""https://docs.google.com/spreadsheets/d/1Nbblj-B70vD9i5jtbyRScyGBXpK_G1dtuDsnJIkMMCA/edit"",ROW(A62)+3686 &amp; ""!Z2"")"),6.0)</f>
        <v>6</v>
      </c>
      <c r="H62" s="29">
        <f>IFERROR(__xludf.DUMMYFUNCTION("IMPORTRANGE(""https://docs.google.com/spreadsheets/d/1jC_PCDgJE2oAmRjwPebkLo_nuqmEUnzBZXpPeH3akQo/edit"",ROW(A62)+3686 &amp; ""!Z2"")"),14.0)</f>
        <v>14</v>
      </c>
      <c r="I62" s="29">
        <f>IFERROR(__xludf.DUMMYFUNCTION("IMPORTRANGE(""https://docs.google.com/spreadsheets/d/1-sYqmNw9LxKJwVmpiSlNiOxHtcQzJNN_Zm5ZWpdvWxc/edit"",ROW(A62)+3686 &amp; ""!Z2"")"),0.0)</f>
        <v>0</v>
      </c>
      <c r="J62" s="29">
        <f>IFERROR(__xludf.DUMMYFUNCTION("IMPORTRANGE(""https://docs.google.com/spreadsheets/d/1ByAR-SZLYFmMZasGxoybWwey9ybLPunmZo2lxna7gz8/edit"",ROW(A62)+3686 &amp; ""!Z2"")"),9.0)</f>
        <v>9</v>
      </c>
      <c r="K62" s="29">
        <f>IFERROR(__xludf.DUMMYFUNCTION("IMPORTRANGE(""https://docs.google.com/spreadsheets/d/1u3kjep_Ay-rJA2uAkkFXuGH0h4mooEyUGnckMoeCfOs/edit"",ROW(A62)+3686 &amp; ""!Z2"")"),2.0)</f>
        <v>2</v>
      </c>
      <c r="L62" s="29">
        <f>IFERROR(__xludf.DUMMYFUNCTION("IMPORTRANGE(""https://docs.google.com/spreadsheets/d/1HTReQ1YdOqch3sGPwq1QL9QnAoK2TCkEH0Emcc83oYs/edit"",ROW(A62)+3686 &amp; ""!Z2"")"),0.0)</f>
        <v>0</v>
      </c>
      <c r="M62" s="29">
        <f>IFERROR(__xludf.DUMMYFUNCTION("IMPORTRANGE(""https://docs.google.com/spreadsheets/d/1hq2y4DlBv4QXLvBwR-9pvgxKcEYt7dtr1-jKlqdvqhQ/edit"",ROW(A62)+3686 &amp; ""!Z2"")"),0.0)</f>
        <v>0</v>
      </c>
      <c r="N62" s="30">
        <v>20.0</v>
      </c>
      <c r="O62" s="31">
        <f t="shared" si="1"/>
        <v>51</v>
      </c>
      <c r="P62" s="53" t="s">
        <v>37</v>
      </c>
      <c r="Q62" s="5"/>
      <c r="R62" s="6"/>
      <c r="S62" s="5"/>
      <c r="T62" s="46"/>
      <c r="U62" s="47">
        <f t="shared" si="2"/>
        <v>174</v>
      </c>
      <c r="V62" s="5"/>
      <c r="W62" s="48">
        <v>99.0</v>
      </c>
      <c r="X62" s="49">
        <v>75.0</v>
      </c>
      <c r="Y62" s="55"/>
      <c r="Z62" s="7"/>
    </row>
    <row r="63">
      <c r="A63" s="40"/>
      <c r="B63" s="41">
        <v>6503749.0</v>
      </c>
      <c r="C63" s="51" t="s">
        <v>159</v>
      </c>
      <c r="D63" s="43" t="s">
        <v>29</v>
      </c>
      <c r="E63" s="52" t="s">
        <v>160</v>
      </c>
      <c r="F63" s="27">
        <f>IFERROR(__xludf.DUMMYFUNCTION("IMPORTRANGE(""https://docs.google.com/spreadsheets/d/1PfPfEwC5dEUihreebI-m2li0jy93An_sgb4FoUuUS0A/edit"",ROW(A63)+3686 &amp; ""!Z2"")
"),0.0)</f>
        <v>0</v>
      </c>
      <c r="G63" s="28">
        <f>IFERROR(__xludf.DUMMYFUNCTION("IMPORTRANGE(""https://docs.google.com/spreadsheets/d/1Nbblj-B70vD9i5jtbyRScyGBXpK_G1dtuDsnJIkMMCA/edit"",ROW(A63)+3686 &amp; ""!Z2"")"),6.0)</f>
        <v>6</v>
      </c>
      <c r="H63" s="29">
        <f>IFERROR(__xludf.DUMMYFUNCTION("IMPORTRANGE(""https://docs.google.com/spreadsheets/d/1jC_PCDgJE2oAmRjwPebkLo_nuqmEUnzBZXpPeH3akQo/edit"",ROW(A63)+3686 &amp; ""!Z2"")"),19.0)</f>
        <v>19</v>
      </c>
      <c r="I63" s="29">
        <f>IFERROR(__xludf.DUMMYFUNCTION("IMPORTRANGE(""https://docs.google.com/spreadsheets/d/1-sYqmNw9LxKJwVmpiSlNiOxHtcQzJNN_Zm5ZWpdvWxc/edit"",ROW(A63)+3686 &amp; ""!Z2"")"),0.0)</f>
        <v>0</v>
      </c>
      <c r="J63" s="29">
        <f>IFERROR(__xludf.DUMMYFUNCTION("IMPORTRANGE(""https://docs.google.com/spreadsheets/d/1ByAR-SZLYFmMZasGxoybWwey9ybLPunmZo2lxna7gz8/edit"",ROW(A63)+3686 &amp; ""!Z2"")"),0.0)</f>
        <v>0</v>
      </c>
      <c r="K63" s="29">
        <f>IFERROR(__xludf.DUMMYFUNCTION("IMPORTRANGE(""https://docs.google.com/spreadsheets/d/1u3kjep_Ay-rJA2uAkkFXuGH0h4mooEyUGnckMoeCfOs/edit"",ROW(A63)+3686 &amp; ""!Z2"")"),4.0)</f>
        <v>4</v>
      </c>
      <c r="L63" s="29">
        <f>IFERROR(__xludf.DUMMYFUNCTION("IMPORTRANGE(""https://docs.google.com/spreadsheets/d/1HTReQ1YdOqch3sGPwq1QL9QnAoK2TCkEH0Emcc83oYs/edit"",ROW(A63)+3686 &amp; ""!Z2"")"),0.0)</f>
        <v>0</v>
      </c>
      <c r="M63" s="29">
        <f>IFERROR(__xludf.DUMMYFUNCTION("IMPORTRANGE(""https://docs.google.com/spreadsheets/d/1hq2y4DlBv4QXLvBwR-9pvgxKcEYt7dtr1-jKlqdvqhQ/edit"",ROW(A63)+3686 &amp; ""!Z2"")"),0.0)</f>
        <v>0</v>
      </c>
      <c r="N63" s="30">
        <v>20.0</v>
      </c>
      <c r="O63" s="31">
        <f t="shared" si="1"/>
        <v>49</v>
      </c>
      <c r="P63" s="44" t="s">
        <v>118</v>
      </c>
      <c r="Q63" s="5"/>
      <c r="R63" s="6"/>
      <c r="S63" s="57">
        <v>20.0</v>
      </c>
      <c r="T63" s="46"/>
      <c r="U63" s="47">
        <f t="shared" si="2"/>
        <v>192</v>
      </c>
      <c r="V63" s="5"/>
      <c r="W63" s="48">
        <v>108.0</v>
      </c>
      <c r="X63" s="49">
        <v>84.0</v>
      </c>
      <c r="Y63" s="55"/>
      <c r="Z63" s="7"/>
    </row>
    <row r="64">
      <c r="A64" s="40"/>
      <c r="B64" s="41">
        <v>6503750.0</v>
      </c>
      <c r="C64" s="51" t="s">
        <v>161</v>
      </c>
      <c r="D64" s="43" t="s">
        <v>29</v>
      </c>
      <c r="E64" s="52" t="s">
        <v>162</v>
      </c>
      <c r="F64" s="27">
        <f>IFERROR(__xludf.DUMMYFUNCTION("IMPORTRANGE(""https://docs.google.com/spreadsheets/d/1PfPfEwC5dEUihreebI-m2li0jy93An_sgb4FoUuUS0A/edit"",ROW(A64)+3686 &amp; ""!Z2"")
"),0.0)</f>
        <v>0</v>
      </c>
      <c r="G64" s="28">
        <f>IFERROR(__xludf.DUMMYFUNCTION("IMPORTRANGE(""https://docs.google.com/spreadsheets/d/1Nbblj-B70vD9i5jtbyRScyGBXpK_G1dtuDsnJIkMMCA/edit"",ROW(A64)+3686 &amp; ""!Z2"")"),6.0)</f>
        <v>6</v>
      </c>
      <c r="H64" s="29">
        <f>IFERROR(__xludf.DUMMYFUNCTION("IMPORTRANGE(""https://docs.google.com/spreadsheets/d/1jC_PCDgJE2oAmRjwPebkLo_nuqmEUnzBZXpPeH3akQo/edit"",ROW(A64)+3686 &amp; ""!Z2"")"),0.0)</f>
        <v>0</v>
      </c>
      <c r="I64" s="29">
        <f>IFERROR(__xludf.DUMMYFUNCTION("IMPORTRANGE(""https://docs.google.com/spreadsheets/d/1-sYqmNw9LxKJwVmpiSlNiOxHtcQzJNN_Zm5ZWpdvWxc/edit"",ROW(A64)+3686 &amp; ""!Z2"")"),0.0)</f>
        <v>0</v>
      </c>
      <c r="J64" s="29">
        <f>IFERROR(__xludf.DUMMYFUNCTION("IMPORTRANGE(""https://docs.google.com/spreadsheets/d/1ByAR-SZLYFmMZasGxoybWwey9ybLPunmZo2lxna7gz8/edit"",ROW(A64)+3686 &amp; ""!Z2"")"),10.0)</f>
        <v>10</v>
      </c>
      <c r="K64" s="29">
        <f>IFERROR(__xludf.DUMMYFUNCTION("IMPORTRANGE(""https://docs.google.com/spreadsheets/d/1u3kjep_Ay-rJA2uAkkFXuGH0h4mooEyUGnckMoeCfOs/edit"",ROW(A64)+3686 &amp; ""!Z2"")"),8.0)</f>
        <v>8</v>
      </c>
      <c r="L64" s="29">
        <f>IFERROR(__xludf.DUMMYFUNCTION("IMPORTRANGE(""https://docs.google.com/spreadsheets/d/1HTReQ1YdOqch3sGPwq1QL9QnAoK2TCkEH0Emcc83oYs/edit"",ROW(A64)+3686 &amp; ""!Z2"")"),1.0)</f>
        <v>1</v>
      </c>
      <c r="M64" s="29">
        <f>IFERROR(__xludf.DUMMYFUNCTION("IMPORTRANGE(""https://docs.google.com/spreadsheets/d/1hq2y4DlBv4QXLvBwR-9pvgxKcEYt7dtr1-jKlqdvqhQ/edit"",ROW(A64)+3686 &amp; ""!Z2"")"),1.0)</f>
        <v>1</v>
      </c>
      <c r="N64" s="30"/>
      <c r="O64" s="31">
        <f t="shared" si="1"/>
        <v>26</v>
      </c>
      <c r="P64" s="5"/>
      <c r="Q64" s="5"/>
      <c r="R64" s="6"/>
      <c r="S64" s="5"/>
      <c r="T64" s="46"/>
      <c r="U64" s="47">
        <f t="shared" si="2"/>
        <v>160</v>
      </c>
      <c r="V64" s="5"/>
      <c r="W64" s="48">
        <v>90.0</v>
      </c>
      <c r="X64" s="49">
        <v>70.0</v>
      </c>
      <c r="Y64" s="55"/>
      <c r="Z64" s="7"/>
    </row>
    <row r="65">
      <c r="A65" s="40"/>
      <c r="B65" s="41">
        <v>6503751.0</v>
      </c>
      <c r="C65" s="51" t="s">
        <v>163</v>
      </c>
      <c r="D65" s="43" t="s">
        <v>32</v>
      </c>
      <c r="E65" s="52" t="s">
        <v>164</v>
      </c>
      <c r="F65" s="27">
        <f>IFERROR(__xludf.DUMMYFUNCTION("IMPORTRANGE(""https://docs.google.com/spreadsheets/d/1PfPfEwC5dEUihreebI-m2li0jy93An_sgb4FoUuUS0A/edit"",ROW(A65)+3686 &amp; ""!Z2"")
"),0.0)</f>
        <v>0</v>
      </c>
      <c r="G65" s="28">
        <f>IFERROR(__xludf.DUMMYFUNCTION("IMPORTRANGE(""https://docs.google.com/spreadsheets/d/1Nbblj-B70vD9i5jtbyRScyGBXpK_G1dtuDsnJIkMMCA/edit"",ROW(A65)+3686 &amp; ""!Z2"")"),6.0)</f>
        <v>6</v>
      </c>
      <c r="H65" s="29">
        <f>IFERROR(__xludf.DUMMYFUNCTION("IMPORTRANGE(""https://docs.google.com/spreadsheets/d/1jC_PCDgJE2oAmRjwPebkLo_nuqmEUnzBZXpPeH3akQo/edit"",ROW(A65)+3686 &amp; ""!Z2"")"),0.0)</f>
        <v>0</v>
      </c>
      <c r="I65" s="29">
        <f>IFERROR(__xludf.DUMMYFUNCTION("IMPORTRANGE(""https://docs.google.com/spreadsheets/d/1-sYqmNw9LxKJwVmpiSlNiOxHtcQzJNN_Zm5ZWpdvWxc/edit"",ROW(A65)+3686 &amp; ""!Z2"")"),0.0)</f>
        <v>0</v>
      </c>
      <c r="J65" s="29">
        <f>IFERROR(__xludf.DUMMYFUNCTION("IMPORTRANGE(""https://docs.google.com/spreadsheets/d/1ByAR-SZLYFmMZasGxoybWwey9ybLPunmZo2lxna7gz8/edit"",ROW(A65)+3686 &amp; ""!Z2"")"),11.0)</f>
        <v>11</v>
      </c>
      <c r="K65" s="29">
        <f>IFERROR(__xludf.DUMMYFUNCTION("IMPORTRANGE(""https://docs.google.com/spreadsheets/d/1u3kjep_Ay-rJA2uAkkFXuGH0h4mooEyUGnckMoeCfOs/edit"",ROW(A65)+3686 &amp; ""!Z2"")"),10.0)</f>
        <v>10</v>
      </c>
      <c r="L65" s="29">
        <f>IFERROR(__xludf.DUMMYFUNCTION("IMPORTRANGE(""https://docs.google.com/spreadsheets/d/1HTReQ1YdOqch3sGPwq1QL9QnAoK2TCkEH0Emcc83oYs/edit"",ROW(A65)+3686 &amp; ""!Z2"")"),0.0)</f>
        <v>0</v>
      </c>
      <c r="M65" s="29">
        <f>IFERROR(__xludf.DUMMYFUNCTION("IMPORTRANGE(""https://docs.google.com/spreadsheets/d/1hq2y4DlBv4QXLvBwR-9pvgxKcEYt7dtr1-jKlqdvqhQ/edit"",ROW(A65)+3686 &amp; ""!Z2"")"),0.0)</f>
        <v>0</v>
      </c>
      <c r="N65" s="30"/>
      <c r="O65" s="31">
        <f t="shared" si="1"/>
        <v>27</v>
      </c>
      <c r="P65" s="5"/>
      <c r="Q65" s="5"/>
      <c r="R65" s="6"/>
      <c r="S65" s="5"/>
      <c r="T65" s="46"/>
      <c r="U65" s="47">
        <f t="shared" si="2"/>
        <v>178</v>
      </c>
      <c r="V65" s="5"/>
      <c r="W65" s="48">
        <v>101.0</v>
      </c>
      <c r="X65" s="49">
        <v>77.0</v>
      </c>
      <c r="Y65" s="55"/>
      <c r="Z65" s="7"/>
    </row>
    <row r="66">
      <c r="A66" s="40"/>
      <c r="B66" s="41">
        <v>6503752.0</v>
      </c>
      <c r="C66" s="51" t="s">
        <v>165</v>
      </c>
      <c r="D66" s="43" t="s">
        <v>29</v>
      </c>
      <c r="E66" s="52" t="s">
        <v>166</v>
      </c>
      <c r="F66" s="27">
        <f>IFERROR(__xludf.DUMMYFUNCTION("IMPORTRANGE(""https://docs.google.com/spreadsheets/d/1PfPfEwC5dEUihreebI-m2li0jy93An_sgb4FoUuUS0A/edit"",ROW(A66)+3686 &amp; ""!Z2"")
"),0.0)</f>
        <v>0</v>
      </c>
      <c r="G66" s="28">
        <f>IFERROR(__xludf.DUMMYFUNCTION("IMPORTRANGE(""https://docs.google.com/spreadsheets/d/1Nbblj-B70vD9i5jtbyRScyGBXpK_G1dtuDsnJIkMMCA/edit"",ROW(A66)+3686 &amp; ""!Z2"")"),6.0)</f>
        <v>6</v>
      </c>
      <c r="H66" s="29">
        <f>IFERROR(__xludf.DUMMYFUNCTION("IMPORTRANGE(""https://docs.google.com/spreadsheets/d/1jC_PCDgJE2oAmRjwPebkLo_nuqmEUnzBZXpPeH3akQo/edit"",ROW(A66)+3686 &amp; ""!Z2"")"),19.0)</f>
        <v>19</v>
      </c>
      <c r="I66" s="29">
        <f>IFERROR(__xludf.DUMMYFUNCTION("IMPORTRANGE(""https://docs.google.com/spreadsheets/d/1-sYqmNw9LxKJwVmpiSlNiOxHtcQzJNN_Zm5ZWpdvWxc/edit"",ROW(A66)+3686 &amp; ""!Z2"")"),0.0)</f>
        <v>0</v>
      </c>
      <c r="J66" s="29">
        <f>IFERROR(__xludf.DUMMYFUNCTION("IMPORTRANGE(""https://docs.google.com/spreadsheets/d/1ByAR-SZLYFmMZasGxoybWwey9ybLPunmZo2lxna7gz8/edit"",ROW(A66)+3686 &amp; ""!Z2"")"),12.0)</f>
        <v>12</v>
      </c>
      <c r="K66" s="29">
        <f>IFERROR(__xludf.DUMMYFUNCTION("IMPORTRANGE(""https://docs.google.com/spreadsheets/d/1u3kjep_Ay-rJA2uAkkFXuGH0h4mooEyUGnckMoeCfOs/edit"",ROW(A66)+3686 &amp; ""!Z2"")"),12.0)</f>
        <v>12</v>
      </c>
      <c r="L66" s="29">
        <f>IFERROR(__xludf.DUMMYFUNCTION("IMPORTRANGE(""https://docs.google.com/spreadsheets/d/1HTReQ1YdOqch3sGPwq1QL9QnAoK2TCkEH0Emcc83oYs/edit"",ROW(A66)+3686 &amp; ""!Z2"")"),0.0)</f>
        <v>0</v>
      </c>
      <c r="M66" s="29">
        <f>IFERROR(__xludf.DUMMYFUNCTION("IMPORTRANGE(""https://docs.google.com/spreadsheets/d/1hq2y4DlBv4QXLvBwR-9pvgxKcEYt7dtr1-jKlqdvqhQ/edit"",ROW(A66)+3686 &amp; ""!Z2"")"),0.0)</f>
        <v>0</v>
      </c>
      <c r="N66" s="30"/>
      <c r="O66" s="31">
        <f t="shared" si="1"/>
        <v>49</v>
      </c>
      <c r="P66" s="5"/>
      <c r="Q66" s="5"/>
      <c r="R66" s="6"/>
      <c r="S66" s="5"/>
      <c r="T66" s="46"/>
      <c r="U66" s="47">
        <f t="shared" si="2"/>
        <v>180</v>
      </c>
      <c r="V66" s="5"/>
      <c r="W66" s="48">
        <v>102.0</v>
      </c>
      <c r="X66" s="49">
        <v>78.0</v>
      </c>
      <c r="Y66" s="55"/>
      <c r="Z66" s="7"/>
    </row>
    <row r="67">
      <c r="A67" s="19"/>
      <c r="B67" s="77">
        <v>6503753.0</v>
      </c>
      <c r="C67" s="78" t="s">
        <v>167</v>
      </c>
      <c r="D67" s="79" t="s">
        <v>29</v>
      </c>
      <c r="E67" s="80" t="s">
        <v>168</v>
      </c>
      <c r="F67" s="27">
        <f>IFERROR(__xludf.DUMMYFUNCTION("IMPORTRANGE(""https://docs.google.com/spreadsheets/d/1PfPfEwC5dEUihreebI-m2li0jy93An_sgb4FoUuUS0A/edit"",ROW(A67)+3686 &amp; ""!Z2"")
"),8.0)</f>
        <v>8</v>
      </c>
      <c r="G67" s="28">
        <f>IFERROR(__xludf.DUMMYFUNCTION("IMPORTRANGE(""https://docs.google.com/spreadsheets/d/1Nbblj-B70vD9i5jtbyRScyGBXpK_G1dtuDsnJIkMMCA/edit"",ROW(A67)+3686 &amp; ""!Z2"")"),6.0)</f>
        <v>6</v>
      </c>
      <c r="H67" s="29">
        <f>IFERROR(__xludf.DUMMYFUNCTION("IMPORTRANGE(""https://docs.google.com/spreadsheets/d/1jC_PCDgJE2oAmRjwPebkLo_nuqmEUnzBZXpPeH3akQo/edit"",ROW(A67)+3686 &amp; ""!Z2"")"),16.0)</f>
        <v>16</v>
      </c>
      <c r="I67" s="29">
        <f>IFERROR(__xludf.DUMMYFUNCTION("IMPORTRANGE(""https://docs.google.com/spreadsheets/d/1-sYqmNw9LxKJwVmpiSlNiOxHtcQzJNN_Zm5ZWpdvWxc/edit"",ROW(A67)+3686 &amp; ""!Z2"")"),0.0)</f>
        <v>0</v>
      </c>
      <c r="J67" s="29">
        <f>IFERROR(__xludf.DUMMYFUNCTION("IMPORTRANGE(""https://docs.google.com/spreadsheets/d/1ByAR-SZLYFmMZasGxoybWwey9ybLPunmZo2lxna7gz8/edit?gid=667146915#gid=667146915"",""3753!Z2"")"),26.0)</f>
        <v>26</v>
      </c>
      <c r="K67" s="29">
        <f>IFERROR(__xludf.DUMMYFUNCTION("IMPORTRANGE(""https://docs.google.com/spreadsheets/d/1u3kjep_Ay-rJA2uAkkFXuGH0h4mooEyUGnckMoeCfOs/edit"",ROW(A67)+3686 &amp; ""!Z2"")"),0.0)</f>
        <v>0</v>
      </c>
      <c r="L67" s="29">
        <f>IFERROR(__xludf.DUMMYFUNCTION("IMPORTRANGE(""https://docs.google.com/spreadsheets/d/1HTReQ1YdOqch3sGPwq1QL9QnAoK2TCkEH0Emcc83oYs/edit"",ROW(A67)+3686 &amp; ""!Z2"")"),0.0)</f>
        <v>0</v>
      </c>
      <c r="M67" s="29">
        <f>IFERROR(__xludf.DUMMYFUNCTION("IMPORTRANGE(""https://docs.google.com/spreadsheets/d/1hq2y4DlBv4QXLvBwR-9pvgxKcEYt7dtr1-jKlqdvqhQ/edit"",ROW(A67)+3686 &amp; ""!Z2"")"),0.0)</f>
        <v>0</v>
      </c>
      <c r="N67" s="81"/>
      <c r="O67" s="31">
        <f t="shared" si="1"/>
        <v>56</v>
      </c>
      <c r="P67" s="82"/>
      <c r="Q67" s="82"/>
      <c r="R67" s="83"/>
      <c r="S67" s="82"/>
      <c r="T67" s="84"/>
      <c r="U67" s="85">
        <f t="shared" si="2"/>
        <v>171</v>
      </c>
      <c r="V67" s="82"/>
      <c r="W67" s="86">
        <v>97.0</v>
      </c>
      <c r="X67" s="87">
        <v>74.0</v>
      </c>
      <c r="Y67" s="88"/>
      <c r="Z67" s="7"/>
    </row>
    <row r="68">
      <c r="A68" s="89" t="s">
        <v>169</v>
      </c>
      <c r="B68" s="90">
        <v>6603754.0</v>
      </c>
      <c r="C68" s="91" t="s">
        <v>170</v>
      </c>
      <c r="D68" s="26" t="s">
        <v>29</v>
      </c>
      <c r="E68" s="92" t="s">
        <v>171</v>
      </c>
      <c r="F68" s="33">
        <f>IFERROR(__xludf.DUMMYFUNCTION("IMPORTRANGE(""https://docs.google.com/spreadsheets/d/1ca8cMhzyOckHdNiYinDsEvnGp85K2P0HF-MddinrGXM/edit?gid=901536474#gid=901536474"",""3754!Z2"")"),0.0)</f>
        <v>0</v>
      </c>
      <c r="G68" s="33">
        <f>IFERROR(__xludf.DUMMYFUNCTION("IMPORTRANGE(""https://docs.google.com/spreadsheets/d/1ZPIx2zimbu-1zeGuxfxkhXNgqhfTssUS5s9k5cZf2wc/edit?gid=901536474#gid=901536474"",""3754!Z2"")"),37.0)</f>
        <v>37</v>
      </c>
      <c r="H68" s="33">
        <f>IFERROR(__xludf.DUMMYFUNCTION("IMPORTRANGE(""https://docs.google.com/spreadsheets/d/1XMcMRG5YO-goaR1U_4jER5WefHmr96--8gyjWBUNI6k/edit?gid=901536474#gid=901536474"",""3754!Z2"")"),100.0)</f>
        <v>100</v>
      </c>
      <c r="I68" s="33">
        <f>IFERROR(__xludf.DUMMYFUNCTION("IMPORTRANGE(""https://docs.google.com/spreadsheets/d/1MA0wBASwppm9FIO036lHI8xvhSVH0v5HYfXfVjKbcyQ/edit?usp=drive_web&amp;ouid=100730119819154221963"",""3754!Z2"")"),0.0)</f>
        <v>0</v>
      </c>
      <c r="J68" s="33">
        <f>IFERROR(__xludf.DUMMYFUNCTION("IMPORTRANGE(""https://docs.google.com/spreadsheets/d/1D2vfyqvZrSRB3H2syxflheuiQYzNPTpGgOdgFd9uWlk/edit?gid=901536474#gid=901536474"",""3754!Z2"")"),0.0)</f>
        <v>0</v>
      </c>
      <c r="K68" s="33">
        <f>IFERROR(__xludf.DUMMYFUNCTION("IMPORTRANGE(""https://docs.google.com/spreadsheets/d/12IEdVEBjKQJvqAAWPA8r9wBGS_rRrYVNO7dHXE_rk60/edit?gid=901536474#gid=901536474"",""3754!Z2"")"),0.0)</f>
        <v>0</v>
      </c>
      <c r="L68" s="33">
        <f>IFERROR(__xludf.DUMMYFUNCTION("IMPORTRANGE(""https://docs.google.com/spreadsheets/d/1LB7ejmtgeP477BH1-F2FJlKUu_JQOyifPAyaNOOGBD0/edit?gid=901536474#gid=901536474"",""3754!Z2"")"),0.0)</f>
        <v>0</v>
      </c>
      <c r="M68" s="33">
        <f>IFERROR(__xludf.DUMMYFUNCTION("IMPORTRANGE(""https://docs.google.com/spreadsheets/d/1b2lul54I9-5u3ezeokOV5YBImAWXrqMYLSuPw_3-hIw/edit?usp=drive_web&amp;ouid=100730119819154221963"",""3754!Z2"")"),0.0)</f>
        <v>0</v>
      </c>
      <c r="N68" s="93"/>
      <c r="O68" s="31">
        <f t="shared" ref="O68:O153" si="3">SUM(F68:M68,R68,S68,T68)</f>
        <v>137</v>
      </c>
      <c r="P68" s="94"/>
      <c r="Q68" s="94"/>
      <c r="R68" s="95"/>
      <c r="S68" s="94"/>
      <c r="T68" s="94"/>
      <c r="U68" s="35">
        <f t="shared" ref="U68:U184" si="4">sum(X68:Y68)</f>
        <v>77</v>
      </c>
      <c r="V68" s="94"/>
      <c r="W68" s="94"/>
      <c r="X68" s="96">
        <v>77.0</v>
      </c>
      <c r="Y68" s="97"/>
      <c r="Z68" s="98"/>
    </row>
    <row r="69">
      <c r="A69" s="40"/>
      <c r="B69" s="53">
        <v>6603755.0</v>
      </c>
      <c r="C69" s="99" t="s">
        <v>172</v>
      </c>
      <c r="D69" s="100" t="s">
        <v>29</v>
      </c>
      <c r="E69" s="101" t="s">
        <v>173</v>
      </c>
      <c r="F69" s="33">
        <f>IFERROR(__xludf.DUMMYFUNCTION("IMPORTRANGE(""https://docs.google.com/spreadsheets/d/1ca8cMhzyOckHdNiYinDsEvnGp85K2P0HF-MddinrGXM/edit?gid=901536474#gid=901536474"",""3755!Z2"")"),0.0)</f>
        <v>0</v>
      </c>
      <c r="G69" s="33">
        <f>IFERROR(__xludf.DUMMYFUNCTION("IMPORTRANGE(""https://docs.google.com/spreadsheets/d/1ZPIx2zimbu-1zeGuxfxkhXNgqhfTssUS5s9k5cZf2wc/edit?gid=901536474#gid=901536474"",""3755!Z2"")"),40.0)</f>
        <v>40</v>
      </c>
      <c r="H69" s="33">
        <f>IFERROR(__xludf.DUMMYFUNCTION("IMPORTRANGE(""https://docs.google.com/spreadsheets/d/1XMcMRG5YO-goaR1U_4jER5WefHmr96--8gyjWBUNI6k/edit?gid=901536474#gid=901536474"",""3755!Z2"")"),55.0)</f>
        <v>55</v>
      </c>
      <c r="I69" s="33">
        <f>IFERROR(__xludf.DUMMYFUNCTION("IMPORTRANGE(""https://docs.google.com/spreadsheets/d/1MA0wBASwppm9FIO036lHI8xvhSVH0v5HYfXfVjKbcyQ/edit?usp=drive_web&amp;ouid=100730119819154221963"",""3755!Z2"")"),0.0)</f>
        <v>0</v>
      </c>
      <c r="J69" s="33">
        <f>IFERROR(__xludf.DUMMYFUNCTION("IMPORTRANGE(""https://docs.google.com/spreadsheets/d/1D2vfyqvZrSRB3H2syxflheuiQYzNPTpGgOdgFd9uWlk/edit?gid=901536474#gid=901536474"",""3755!Z2"")"),0.0)</f>
        <v>0</v>
      </c>
      <c r="K69" s="33">
        <f>IFERROR(__xludf.DUMMYFUNCTION("IMPORTRANGE(""https://docs.google.com/spreadsheets/d/12IEdVEBjKQJvqAAWPA8r9wBGS_rRrYVNO7dHXE_rk60/edit?gid=901536474#gid=901536474"",""3755!Z2"")"),0.0)</f>
        <v>0</v>
      </c>
      <c r="L69" s="33">
        <f>IFERROR(__xludf.DUMMYFUNCTION("IMPORTRANGE(""https://docs.google.com/spreadsheets/d/1LB7ejmtgeP477BH1-F2FJlKUu_JQOyifPAyaNOOGBD0/edit?gid=901536474#gid=901536474"",""3755!Z2"")"),0.0)</f>
        <v>0</v>
      </c>
      <c r="M69" s="33">
        <f>IFERROR(__xludf.DUMMYFUNCTION("IMPORTRANGE(""https://docs.google.com/spreadsheets/d/1b2lul54I9-5u3ezeokOV5YBImAWXrqMYLSuPw_3-hIw/edit?usp=drive_web&amp;ouid=100730119819154221963"",""3755!Z2"")"),0.0)</f>
        <v>0</v>
      </c>
      <c r="N69" s="102"/>
      <c r="O69" s="103">
        <f t="shared" si="3"/>
        <v>95</v>
      </c>
      <c r="P69" s="104"/>
      <c r="Q69" s="104"/>
      <c r="R69" s="105"/>
      <c r="S69" s="104"/>
      <c r="T69" s="104"/>
      <c r="U69" s="47">
        <f t="shared" si="4"/>
        <v>89</v>
      </c>
      <c r="V69" s="104"/>
      <c r="W69" s="104"/>
      <c r="X69" s="96">
        <v>89.0</v>
      </c>
      <c r="Y69" s="106"/>
      <c r="Z69" s="98"/>
    </row>
    <row r="70">
      <c r="A70" s="40"/>
      <c r="B70" s="53">
        <v>6603756.0</v>
      </c>
      <c r="C70" s="99" t="s">
        <v>174</v>
      </c>
      <c r="D70" s="43" t="s">
        <v>29</v>
      </c>
      <c r="E70" s="107" t="s">
        <v>175</v>
      </c>
      <c r="F70" s="33">
        <f>IFERROR(__xludf.DUMMYFUNCTION("IMPORTRANGE(""https://docs.google.com/spreadsheets/d/1ca8cMhzyOckHdNiYinDsEvnGp85K2P0HF-MddinrGXM/edit?gid=901536474#gid=901536474"",""3756!Z2"")"),0.0)</f>
        <v>0</v>
      </c>
      <c r="G70" s="33">
        <f>IFERROR(__xludf.DUMMYFUNCTION("IMPORTRANGE(""https://docs.google.com/spreadsheets/d/1ZPIx2zimbu-1zeGuxfxkhXNgqhfTssUS5s9k5cZf2wc/edit?gid=901536474#gid=901536474"",""3756!Z2"")"),28.0)</f>
        <v>28</v>
      </c>
      <c r="H70" s="33">
        <f>IFERROR(__xludf.DUMMYFUNCTION("IMPORTRANGE(""https://docs.google.com/spreadsheets/d/1XMcMRG5YO-goaR1U_4jER5WefHmr96--8gyjWBUNI6k/edit?gid=901536474#gid=901536474"",""3756!Z2"")"),30.0)</f>
        <v>30</v>
      </c>
      <c r="I70" s="33">
        <f>IFERROR(__xludf.DUMMYFUNCTION("IMPORTRANGE(""https://docs.google.com/spreadsheets/d/1MA0wBASwppm9FIO036lHI8xvhSVH0v5HYfXfVjKbcyQ/edit?usp=drive_web&amp;ouid=100730119819154221963"",""3756!Z2"")"),0.0)</f>
        <v>0</v>
      </c>
      <c r="J70" s="33">
        <f>IFERROR(__xludf.DUMMYFUNCTION("IMPORTRANGE(""https://docs.google.com/spreadsheets/d/1D2vfyqvZrSRB3H2syxflheuiQYzNPTpGgOdgFd9uWlk/edit?gid=901536474#gid=901536474"",""3756!Z2"")"),0.0)</f>
        <v>0</v>
      </c>
      <c r="K70" s="33">
        <f>IFERROR(__xludf.DUMMYFUNCTION("IMPORTRANGE(""https://docs.google.com/spreadsheets/d/12IEdVEBjKQJvqAAWPA8r9wBGS_rRrYVNO7dHXE_rk60/edit?gid=901536474#gid=901536474"",""3756!Z2"")"),0.0)</f>
        <v>0</v>
      </c>
      <c r="L70" s="33">
        <f>IFERROR(__xludf.DUMMYFUNCTION("IMPORTRANGE(""https://docs.google.com/spreadsheets/d/1LB7ejmtgeP477BH1-F2FJlKUu_JQOyifPAyaNOOGBD0/edit?gid=901536474#gid=901536474"",""3756!Z2"")"),0.0)</f>
        <v>0</v>
      </c>
      <c r="M70" s="33">
        <f>IFERROR(__xludf.DUMMYFUNCTION("IMPORTRANGE(""https://docs.google.com/spreadsheets/d/1b2lul54I9-5u3ezeokOV5YBImAWXrqMYLSuPw_3-hIw/edit?usp=drive_web&amp;ouid=100730119819154221963"",""3756!Z2"")"),0.0)</f>
        <v>0</v>
      </c>
      <c r="N70" s="54"/>
      <c r="O70" s="41">
        <f t="shared" si="3"/>
        <v>78</v>
      </c>
      <c r="P70" s="44" t="s">
        <v>42</v>
      </c>
      <c r="Q70" s="104"/>
      <c r="R70" s="108"/>
      <c r="S70" s="108">
        <v>20.0</v>
      </c>
      <c r="T70" s="104"/>
      <c r="U70" s="47">
        <f t="shared" si="4"/>
        <v>79</v>
      </c>
      <c r="V70" s="104"/>
      <c r="W70" s="104"/>
      <c r="X70" s="96">
        <v>79.0</v>
      </c>
      <c r="Y70" s="106"/>
      <c r="Z70" s="98"/>
    </row>
    <row r="71">
      <c r="A71" s="40"/>
      <c r="B71" s="53">
        <v>6603757.0</v>
      </c>
      <c r="C71" s="109" t="s">
        <v>176</v>
      </c>
      <c r="D71" s="43" t="s">
        <v>29</v>
      </c>
      <c r="E71" s="110" t="s">
        <v>177</v>
      </c>
      <c r="F71" s="33">
        <f>IFERROR(__xludf.DUMMYFUNCTION("IMPORTRANGE(""https://docs.google.com/spreadsheets/d/1ca8cMhzyOckHdNiYinDsEvnGp85K2P0HF-MddinrGXM/edit?gid=901536474#gid=901536474"",""3757!Z2"")"),0.0)</f>
        <v>0</v>
      </c>
      <c r="G71" s="33">
        <f>IFERROR(__xludf.DUMMYFUNCTION("IMPORTRANGE(""https://docs.google.com/spreadsheets/d/1ZPIx2zimbu-1zeGuxfxkhXNgqhfTssUS5s9k5cZf2wc/edit?gid=901536474#gid=901536474"",""3757!Z2"")"),33.0)</f>
        <v>33</v>
      </c>
      <c r="H71" s="33">
        <f>IFERROR(__xludf.DUMMYFUNCTION("IMPORTRANGE(""https://docs.google.com/spreadsheets/d/1XMcMRG5YO-goaR1U_4jER5WefHmr96--8gyjWBUNI6k/edit?gid=901536474#gid=901536474"",""3757!Z2"")"),83.0)</f>
        <v>83</v>
      </c>
      <c r="I71" s="33">
        <f>IFERROR(__xludf.DUMMYFUNCTION("IMPORTRANGE(""https://docs.google.com/spreadsheets/d/1MA0wBASwppm9FIO036lHI8xvhSVH0v5HYfXfVjKbcyQ/edit?usp=drive_web&amp;ouid=100730119819154221963"",""3757!Z2"")"),0.0)</f>
        <v>0</v>
      </c>
      <c r="J71" s="33">
        <f>IFERROR(__xludf.DUMMYFUNCTION("IMPORTRANGE(""https://docs.google.com/spreadsheets/d/1D2vfyqvZrSRB3H2syxflheuiQYzNPTpGgOdgFd9uWlk/edit?gid=901536474#gid=901536474"",""3757!Z2"")"),0.0)</f>
        <v>0</v>
      </c>
      <c r="K71" s="33">
        <f>IFERROR(__xludf.DUMMYFUNCTION("IMPORTRANGE(""https://docs.google.com/spreadsheets/d/12IEdVEBjKQJvqAAWPA8r9wBGS_rRrYVNO7dHXE_rk60/edit?gid=901536474#gid=901536474"",""3757!Z2"")"),0.0)</f>
        <v>0</v>
      </c>
      <c r="L71" s="33">
        <f>IFERROR(__xludf.DUMMYFUNCTION("IMPORTRANGE(""https://docs.google.com/spreadsheets/d/1LB7ejmtgeP477BH1-F2FJlKUu_JQOyifPAyaNOOGBD0/edit?gid=901536474#gid=901536474"",""3757!Z2"")"),0.0)</f>
        <v>0</v>
      </c>
      <c r="M71" s="33">
        <f>IFERROR(__xludf.DUMMYFUNCTION("IMPORTRANGE(""https://docs.google.com/spreadsheets/d/1b2lul54I9-5u3ezeokOV5YBImAWXrqMYLSuPw_3-hIw/edit?usp=drive_web&amp;ouid=100730119819154221963"",""3757!Z2"")"),0.0)</f>
        <v>0</v>
      </c>
      <c r="N71" s="102"/>
      <c r="O71" s="103">
        <f t="shared" si="3"/>
        <v>116</v>
      </c>
      <c r="P71" s="104"/>
      <c r="Q71" s="104"/>
      <c r="R71" s="105"/>
      <c r="S71" s="104"/>
      <c r="T71" s="104"/>
      <c r="U71" s="47">
        <f t="shared" si="4"/>
        <v>84</v>
      </c>
      <c r="V71" s="104"/>
      <c r="W71" s="104"/>
      <c r="X71" s="96">
        <v>84.0</v>
      </c>
      <c r="Y71" s="106"/>
      <c r="Z71" s="98"/>
    </row>
    <row r="72">
      <c r="A72" s="40"/>
      <c r="B72" s="53">
        <v>6603758.0</v>
      </c>
      <c r="C72" s="109" t="s">
        <v>178</v>
      </c>
      <c r="D72" s="100" t="s">
        <v>29</v>
      </c>
      <c r="E72" s="111" t="s">
        <v>179</v>
      </c>
      <c r="F72" s="33">
        <f>IFERROR(__xludf.DUMMYFUNCTION("IMPORTRANGE(""https://docs.google.com/spreadsheets/d/1ca8cMhzyOckHdNiYinDsEvnGp85K2P0HF-MddinrGXM/edit?gid=901536474#gid=901536474"",""3758!Z2"")"),8.0)</f>
        <v>8</v>
      </c>
      <c r="G72" s="33">
        <f>IFERROR(__xludf.DUMMYFUNCTION("IMPORTRANGE(""https://docs.google.com/spreadsheets/d/1ZPIx2zimbu-1zeGuxfxkhXNgqhfTssUS5s9k5cZf2wc/edit?gid=901536474#gid=901536474"",""3758!Z2"")"),24.0)</f>
        <v>24</v>
      </c>
      <c r="H72" s="33">
        <f>IFERROR(__xludf.DUMMYFUNCTION("IMPORTRANGE(""https://docs.google.com/spreadsheets/d/1XMcMRG5YO-goaR1U_4jER5WefHmr96--8gyjWBUNI6k/edit?gid=901536474#gid=901536474"",""3758!Z2"")"),18.0)</f>
        <v>18</v>
      </c>
      <c r="I72" s="33">
        <f>IFERROR(__xludf.DUMMYFUNCTION("IMPORTRANGE(""https://docs.google.com/spreadsheets/d/1MA0wBASwppm9FIO036lHI8xvhSVH0v5HYfXfVjKbcyQ/edit?usp=drive_web&amp;ouid=100730119819154221963"",""3758!Z2"")"),0.0)</f>
        <v>0</v>
      </c>
      <c r="J72" s="33">
        <f>IFERROR(__xludf.DUMMYFUNCTION("IMPORTRANGE(""https://docs.google.com/spreadsheets/d/1D2vfyqvZrSRB3H2syxflheuiQYzNPTpGgOdgFd9uWlk/edit?gid=901536474#gid=901536474"",""3758!Z2"")"),4.0)</f>
        <v>4</v>
      </c>
      <c r="K72" s="33">
        <f>IFERROR(__xludf.DUMMYFUNCTION("IMPORTRANGE(""https://docs.google.com/spreadsheets/d/12IEdVEBjKQJvqAAWPA8r9wBGS_rRrYVNO7dHXE_rk60/edit?gid=901536474#gid=901536474"",""3758!Z2"")"),0.0)</f>
        <v>0</v>
      </c>
      <c r="L72" s="33">
        <f>IFERROR(__xludf.DUMMYFUNCTION("IMPORTRANGE(""https://docs.google.com/spreadsheets/d/1LB7ejmtgeP477BH1-F2FJlKUu_JQOyifPAyaNOOGBD0/edit?gid=901536474#gid=901536474"",""3758!Z2"")"),0.0)</f>
        <v>0</v>
      </c>
      <c r="M72" s="33">
        <f>IFERROR(__xludf.DUMMYFUNCTION("IMPORTRANGE(""https://docs.google.com/spreadsheets/d/1b2lul54I9-5u3ezeokOV5YBImAWXrqMYLSuPw_3-hIw/edit?usp=drive_web&amp;ouid=100730119819154221963"",""3758!Z2"")"),0.0)</f>
        <v>0</v>
      </c>
      <c r="N72" s="102"/>
      <c r="O72" s="103">
        <f t="shared" si="3"/>
        <v>54</v>
      </c>
      <c r="P72" s="104"/>
      <c r="Q72" s="104"/>
      <c r="R72" s="105"/>
      <c r="S72" s="104"/>
      <c r="T72" s="104"/>
      <c r="U72" s="47">
        <f t="shared" si="4"/>
        <v>77</v>
      </c>
      <c r="V72" s="104"/>
      <c r="W72" s="104"/>
      <c r="X72" s="96">
        <v>77.0</v>
      </c>
      <c r="Y72" s="106"/>
      <c r="Z72" s="98"/>
    </row>
    <row r="73">
      <c r="A73" s="40"/>
      <c r="B73" s="53">
        <v>6603759.0</v>
      </c>
      <c r="C73" s="109" t="s">
        <v>180</v>
      </c>
      <c r="D73" s="43" t="s">
        <v>29</v>
      </c>
      <c r="E73" s="110" t="s">
        <v>181</v>
      </c>
      <c r="F73" s="33">
        <f>IFERROR(__xludf.DUMMYFUNCTION("IMPORTRANGE(""https://docs.google.com/spreadsheets/d/1ca8cMhzyOckHdNiYinDsEvnGp85K2P0HF-MddinrGXM/edit?gid=901536474#gid=901536474"",""3759!Z2"")"),0.0)</f>
        <v>0</v>
      </c>
      <c r="G73" s="33">
        <f>IFERROR(__xludf.DUMMYFUNCTION("IMPORTRANGE(""https://docs.google.com/spreadsheets/d/1ZPIx2zimbu-1zeGuxfxkhXNgqhfTssUS5s9k5cZf2wc/edit?gid=901536474#gid=901536474"",""3759!Z2"")"),8.0)</f>
        <v>8</v>
      </c>
      <c r="H73" s="33">
        <f>IFERROR(__xludf.DUMMYFUNCTION("IMPORTRANGE(""https://docs.google.com/spreadsheets/d/1XMcMRG5YO-goaR1U_4jER5WefHmr96--8gyjWBUNI6k/edit?gid=901536474#gid=901536474"",""3759!Z2"")"),88.0)</f>
        <v>88</v>
      </c>
      <c r="I73" s="33">
        <f>IFERROR(__xludf.DUMMYFUNCTION("IMPORTRANGE(""https://docs.google.com/spreadsheets/d/1MA0wBASwppm9FIO036lHI8xvhSVH0v5HYfXfVjKbcyQ/edit?usp=drive_web&amp;ouid=100730119819154221963"",""3759!Z2"")"),0.0)</f>
        <v>0</v>
      </c>
      <c r="J73" s="33">
        <f>IFERROR(__xludf.DUMMYFUNCTION("IMPORTRANGE(""https://docs.google.com/spreadsheets/d/1D2vfyqvZrSRB3H2syxflheuiQYzNPTpGgOdgFd9uWlk/edit?gid=901536474#gid=901536474"",""3759!Z2"")"),0.0)</f>
        <v>0</v>
      </c>
      <c r="K73" s="33">
        <f>IFERROR(__xludf.DUMMYFUNCTION("IMPORTRANGE(""https://docs.google.com/spreadsheets/d/12IEdVEBjKQJvqAAWPA8r9wBGS_rRrYVNO7dHXE_rk60/edit?gid=901536474#gid=901536474"",""3759!Z2"")"),0.0)</f>
        <v>0</v>
      </c>
      <c r="L73" s="33">
        <f>IFERROR(__xludf.DUMMYFUNCTION("IMPORTRANGE(""https://docs.google.com/spreadsheets/d/1LB7ejmtgeP477BH1-F2FJlKUu_JQOyifPAyaNOOGBD0/edit?gid=901536474#gid=901536474"",""3759!Z2"")"),0.0)</f>
        <v>0</v>
      </c>
      <c r="M73" s="33">
        <f>IFERROR(__xludf.DUMMYFUNCTION("IMPORTRANGE(""https://docs.google.com/spreadsheets/d/1b2lul54I9-5u3ezeokOV5YBImAWXrqMYLSuPw_3-hIw/edit?usp=drive_web&amp;ouid=100730119819154221963"",""3759!Z2"")"),0.0)</f>
        <v>0</v>
      </c>
      <c r="N73" s="54"/>
      <c r="O73" s="41">
        <f t="shared" si="3"/>
        <v>116</v>
      </c>
      <c r="P73" s="44" t="s">
        <v>42</v>
      </c>
      <c r="Q73" s="104"/>
      <c r="R73" s="108"/>
      <c r="S73" s="108">
        <v>20.0</v>
      </c>
      <c r="T73" s="104"/>
      <c r="U73" s="47">
        <f t="shared" si="4"/>
        <v>92</v>
      </c>
      <c r="V73" s="104"/>
      <c r="W73" s="104"/>
      <c r="X73" s="96">
        <v>92.0</v>
      </c>
      <c r="Y73" s="106"/>
      <c r="Z73" s="98"/>
    </row>
    <row r="74">
      <c r="A74" s="40"/>
      <c r="B74" s="53">
        <v>6603760.0</v>
      </c>
      <c r="C74" s="109" t="s">
        <v>182</v>
      </c>
      <c r="D74" s="100" t="s">
        <v>29</v>
      </c>
      <c r="E74" s="111" t="s">
        <v>183</v>
      </c>
      <c r="F74" s="33">
        <f>IFERROR(__xludf.DUMMYFUNCTION("IMPORTRANGE(""https://docs.google.com/spreadsheets/d/1ca8cMhzyOckHdNiYinDsEvnGp85K2P0HF-MddinrGXM/edit?gid=901536474#gid=901536474"",""3760!Z2"")"),0.0)</f>
        <v>0</v>
      </c>
      <c r="G74" s="33">
        <f>IFERROR(__xludf.DUMMYFUNCTION("IMPORTRANGE(""https://docs.google.com/spreadsheets/d/1ZPIx2zimbu-1zeGuxfxkhXNgqhfTssUS5s9k5cZf2wc/edit?gid=901536474#gid=901536474"",""3760!Z2"")"),52.0)</f>
        <v>52</v>
      </c>
      <c r="H74" s="33">
        <f>IFERROR(__xludf.DUMMYFUNCTION("IMPORTRANGE(""https://docs.google.com/spreadsheets/d/1XMcMRG5YO-goaR1U_4jER5WefHmr96--8gyjWBUNI6k/edit?gid=901536474#gid=901536474"",""3760!Z2"")"),50.0)</f>
        <v>50</v>
      </c>
      <c r="I74" s="33">
        <f>IFERROR(__xludf.DUMMYFUNCTION("IMPORTRANGE(""https://docs.google.com/spreadsheets/d/1MA0wBASwppm9FIO036lHI8xvhSVH0v5HYfXfVjKbcyQ/edit?usp=drive_web&amp;ouid=100730119819154221963"",""3760!Z2"")"),0.0)</f>
        <v>0</v>
      </c>
      <c r="J74" s="33">
        <f>IFERROR(__xludf.DUMMYFUNCTION("IMPORTRANGE(""https://docs.google.com/spreadsheets/d/1D2vfyqvZrSRB3H2syxflheuiQYzNPTpGgOdgFd9uWlk/edit?gid=901536474#gid=901536474"",""3760!Z2"")"),0.0)</f>
        <v>0</v>
      </c>
      <c r="K74" s="33">
        <f>IFERROR(__xludf.DUMMYFUNCTION("IMPORTRANGE(""https://docs.google.com/spreadsheets/d/12IEdVEBjKQJvqAAWPA8r9wBGS_rRrYVNO7dHXE_rk60/edit?gid=901536474#gid=901536474"",""3760!Z2"")"),0.0)</f>
        <v>0</v>
      </c>
      <c r="L74" s="33">
        <f>IFERROR(__xludf.DUMMYFUNCTION("IMPORTRANGE(""https://docs.google.com/spreadsheets/d/1LB7ejmtgeP477BH1-F2FJlKUu_JQOyifPAyaNOOGBD0/edit?gid=901536474#gid=901536474"",""3760!Z2"")"),0.0)</f>
        <v>0</v>
      </c>
      <c r="M74" s="33">
        <f>IFERROR(__xludf.DUMMYFUNCTION("IMPORTRANGE(""https://docs.google.com/spreadsheets/d/1b2lul54I9-5u3ezeokOV5YBImAWXrqMYLSuPw_3-hIw/edit?usp=drive_web&amp;ouid=100730119819154221963"",""3760!Z2"")"),0.0)</f>
        <v>0</v>
      </c>
      <c r="N74" s="102"/>
      <c r="O74" s="103">
        <f t="shared" si="3"/>
        <v>102</v>
      </c>
      <c r="P74" s="104"/>
      <c r="Q74" s="104"/>
      <c r="R74" s="105"/>
      <c r="S74" s="104"/>
      <c r="T74" s="104"/>
      <c r="U74" s="47">
        <f t="shared" si="4"/>
        <v>80</v>
      </c>
      <c r="V74" s="104"/>
      <c r="W74" s="104"/>
      <c r="X74" s="96">
        <v>80.0</v>
      </c>
      <c r="Y74" s="106"/>
      <c r="Z74" s="98"/>
    </row>
    <row r="75">
      <c r="A75" s="40"/>
      <c r="B75" s="53">
        <v>6603761.0</v>
      </c>
      <c r="C75" s="109" t="s">
        <v>184</v>
      </c>
      <c r="D75" s="43" t="s">
        <v>29</v>
      </c>
      <c r="E75" s="110" t="s">
        <v>185</v>
      </c>
      <c r="F75" s="33">
        <f>IFERROR(__xludf.DUMMYFUNCTION("IMPORTRANGE(""https://docs.google.com/spreadsheets/d/1ca8cMhzyOckHdNiYinDsEvnGp85K2P0HF-MddinrGXM/edit?gid=901536474#gid=901536474"",""3761!Z2"")"),0.0)</f>
        <v>0</v>
      </c>
      <c r="G75" s="33">
        <f>IFERROR(__xludf.DUMMYFUNCTION("IMPORTRANGE(""https://docs.google.com/spreadsheets/d/1ZPIx2zimbu-1zeGuxfxkhXNgqhfTssUS5s9k5cZf2wc/edit?gid=901536474#gid=901536474"",""3761!Z2"")"),28.0)</f>
        <v>28</v>
      </c>
      <c r="H75" s="33">
        <f>IFERROR(__xludf.DUMMYFUNCTION("IMPORTRANGE(""https://docs.google.com/spreadsheets/d/1XMcMRG5YO-goaR1U_4jER5WefHmr96--8gyjWBUNI6k/edit?gid=901536474#gid=901536474"",""3761!Z2"")"),19.0)</f>
        <v>19</v>
      </c>
      <c r="I75" s="33">
        <f>IFERROR(__xludf.DUMMYFUNCTION("IMPORTRANGE(""https://docs.google.com/spreadsheets/d/1MA0wBASwppm9FIO036lHI8xvhSVH0v5HYfXfVjKbcyQ/edit?usp=drive_web&amp;ouid=100730119819154221963"",""3761!Z2"")"),0.0)</f>
        <v>0</v>
      </c>
      <c r="J75" s="33">
        <f>IFERROR(__xludf.DUMMYFUNCTION("IMPORTRANGE(""https://docs.google.com/spreadsheets/d/1D2vfyqvZrSRB3H2syxflheuiQYzNPTpGgOdgFd9uWlk/edit?gid=901536474#gid=901536474"",""3761!Z2"")"),0.0)</f>
        <v>0</v>
      </c>
      <c r="K75" s="33">
        <f>IFERROR(__xludf.DUMMYFUNCTION("IMPORTRANGE(""https://docs.google.com/spreadsheets/d/12IEdVEBjKQJvqAAWPA8r9wBGS_rRrYVNO7dHXE_rk60/edit?gid=901536474#gid=901536474"",""3761!Z2"")"),2.0)</f>
        <v>2</v>
      </c>
      <c r="L75" s="33">
        <f>IFERROR(__xludf.DUMMYFUNCTION("IMPORTRANGE(""https://docs.google.com/spreadsheets/d/1LB7ejmtgeP477BH1-F2FJlKUu_JQOyifPAyaNOOGBD0/edit?gid=901536474#gid=901536474"",""3761!Z2"")"),0.0)</f>
        <v>0</v>
      </c>
      <c r="M75" s="33">
        <f>IFERROR(__xludf.DUMMYFUNCTION("IMPORTRANGE(""https://docs.google.com/spreadsheets/d/1b2lul54I9-5u3ezeokOV5YBImAWXrqMYLSuPw_3-hIw/edit?usp=drive_web&amp;ouid=100730119819154221963"",""3761!Z2"")"),3.0)</f>
        <v>3</v>
      </c>
      <c r="N75" s="45"/>
      <c r="O75" s="41">
        <f t="shared" si="3"/>
        <v>52</v>
      </c>
      <c r="P75" s="104"/>
      <c r="Q75" s="104"/>
      <c r="R75" s="105"/>
      <c r="S75" s="104"/>
      <c r="T75" s="104"/>
      <c r="U75" s="47">
        <f t="shared" si="4"/>
        <v>89</v>
      </c>
      <c r="V75" s="104"/>
      <c r="W75" s="104"/>
      <c r="X75" s="96">
        <v>89.0</v>
      </c>
      <c r="Y75" s="106"/>
      <c r="Z75" s="98"/>
    </row>
    <row r="76">
      <c r="A76" s="40"/>
      <c r="B76" s="53">
        <v>6603762.0</v>
      </c>
      <c r="C76" s="109" t="s">
        <v>186</v>
      </c>
      <c r="D76" s="43" t="s">
        <v>29</v>
      </c>
      <c r="E76" s="110" t="s">
        <v>187</v>
      </c>
      <c r="F76" s="33">
        <f>IFERROR(__xludf.DUMMYFUNCTION("IMPORTRANGE(""https://docs.google.com/spreadsheets/d/1ca8cMhzyOckHdNiYinDsEvnGp85K2P0HF-MddinrGXM/edit?gid=901536474#gid=901536474"",""3762!Z2"")"),8.0)</f>
        <v>8</v>
      </c>
      <c r="G76" s="33">
        <f>IFERROR(__xludf.DUMMYFUNCTION("IMPORTRANGE(""https://docs.google.com/spreadsheets/d/1ZPIx2zimbu-1zeGuxfxkhXNgqhfTssUS5s9k5cZf2wc/edit?gid=901536474#gid=901536474"",""3762!Z2"")"),24.0)</f>
        <v>24</v>
      </c>
      <c r="H76" s="33">
        <f>IFERROR(__xludf.DUMMYFUNCTION("IMPORTRANGE(""https://docs.google.com/spreadsheets/d/1XMcMRG5YO-goaR1U_4jER5WefHmr96--8gyjWBUNI6k/edit?gid=901536474#gid=901536474"",""3762!Z2"")"),35.0)</f>
        <v>35</v>
      </c>
      <c r="I76" s="33">
        <f>IFERROR(__xludf.DUMMYFUNCTION("IMPORTRANGE(""https://docs.google.com/spreadsheets/d/1MA0wBASwppm9FIO036lHI8xvhSVH0v5HYfXfVjKbcyQ/edit?usp=drive_web&amp;ouid=100730119819154221963"",""3762!Z2"")"),0.0)</f>
        <v>0</v>
      </c>
      <c r="J76" s="33">
        <f>IFERROR(__xludf.DUMMYFUNCTION("IMPORTRANGE(""https://docs.google.com/spreadsheets/d/1D2vfyqvZrSRB3H2syxflheuiQYzNPTpGgOdgFd9uWlk/edit?gid=901536474#gid=901536474"",""3762!Z2"")"),0.0)</f>
        <v>0</v>
      </c>
      <c r="K76" s="33">
        <f>IFERROR(__xludf.DUMMYFUNCTION("IMPORTRANGE(""https://docs.google.com/spreadsheets/d/12IEdVEBjKQJvqAAWPA8r9wBGS_rRrYVNO7dHXE_rk60/edit?gid=901536474#gid=901536474"",""3762!Z2"")"),0.0)</f>
        <v>0</v>
      </c>
      <c r="L76" s="33">
        <f>IFERROR(__xludf.DUMMYFUNCTION("IMPORTRANGE(""https://docs.google.com/spreadsheets/d/1LB7ejmtgeP477BH1-F2FJlKUu_JQOyifPAyaNOOGBD0/edit?gid=901536474#gid=901536474"",""3762!Z2"")"),0.0)</f>
        <v>0</v>
      </c>
      <c r="M76" s="33">
        <f>IFERROR(__xludf.DUMMYFUNCTION("IMPORTRANGE(""https://docs.google.com/spreadsheets/d/1b2lul54I9-5u3ezeokOV5YBImAWXrqMYLSuPw_3-hIw/edit?usp=drive_web&amp;ouid=100730119819154221963"",""3762!Z2"")"),0.0)</f>
        <v>0</v>
      </c>
      <c r="N76" s="45"/>
      <c r="O76" s="41">
        <f t="shared" si="3"/>
        <v>87</v>
      </c>
      <c r="P76" s="44" t="s">
        <v>34</v>
      </c>
      <c r="Q76" s="104"/>
      <c r="R76" s="108"/>
      <c r="S76" s="108">
        <v>20.0</v>
      </c>
      <c r="T76" s="104"/>
      <c r="U76" s="47">
        <f t="shared" si="4"/>
        <v>145</v>
      </c>
      <c r="V76" s="104"/>
      <c r="W76" s="104"/>
      <c r="X76" s="96">
        <v>145.0</v>
      </c>
      <c r="Y76" s="106"/>
      <c r="Z76" s="98"/>
    </row>
    <row r="77">
      <c r="A77" s="40"/>
      <c r="B77" s="53">
        <v>6603763.0</v>
      </c>
      <c r="C77" s="109" t="s">
        <v>188</v>
      </c>
      <c r="D77" s="100" t="s">
        <v>29</v>
      </c>
      <c r="E77" s="111" t="s">
        <v>189</v>
      </c>
      <c r="F77" s="33">
        <f>IFERROR(__xludf.DUMMYFUNCTION("IMPORTRANGE(""https://docs.google.com/spreadsheets/d/1ca8cMhzyOckHdNiYinDsEvnGp85K2P0HF-MddinrGXM/edit?gid=901536474#gid=901536474"",""3763!Z2"")"),0.0)</f>
        <v>0</v>
      </c>
      <c r="G77" s="33">
        <f>IFERROR(__xludf.DUMMYFUNCTION("IMPORTRANGE(""https://docs.google.com/spreadsheets/d/1ZPIx2zimbu-1zeGuxfxkhXNgqhfTssUS5s9k5cZf2wc/edit?gid=901536474#gid=901536474"",""3763!Z2"")"),32.0)</f>
        <v>32</v>
      </c>
      <c r="H77" s="33">
        <f>IFERROR(__xludf.DUMMYFUNCTION("IMPORTRANGE(""https://docs.google.com/spreadsheets/d/1XMcMRG5YO-goaR1U_4jER5WefHmr96--8gyjWBUNI6k/edit?gid=901536474#gid=901536474"",""3763!Z2"")"),18.0)</f>
        <v>18</v>
      </c>
      <c r="I77" s="33">
        <f>IFERROR(__xludf.DUMMYFUNCTION("IMPORTRANGE(""https://docs.google.com/spreadsheets/d/1MA0wBASwppm9FIO036lHI8xvhSVH0v5HYfXfVjKbcyQ/edit?usp=drive_web&amp;ouid=100730119819154221963"",""3763!Z2"")"),0.0)</f>
        <v>0</v>
      </c>
      <c r="J77" s="33">
        <f>IFERROR(__xludf.DUMMYFUNCTION("IMPORTRANGE(""https://docs.google.com/spreadsheets/d/1D2vfyqvZrSRB3H2syxflheuiQYzNPTpGgOdgFd9uWlk/edit?gid=901536474#gid=901536474"",""3763!Z2"")"),0.0)</f>
        <v>0</v>
      </c>
      <c r="K77" s="33">
        <f>IFERROR(__xludf.DUMMYFUNCTION("IMPORTRANGE(""https://docs.google.com/spreadsheets/d/12IEdVEBjKQJvqAAWPA8r9wBGS_rRrYVNO7dHXE_rk60/edit?gid=901536474#gid=901536474"",""3763!Z2"")"),0.0)</f>
        <v>0</v>
      </c>
      <c r="L77" s="33">
        <f>IFERROR(__xludf.DUMMYFUNCTION("IMPORTRANGE(""https://docs.google.com/spreadsheets/d/1LB7ejmtgeP477BH1-F2FJlKUu_JQOyifPAyaNOOGBD0/edit?gid=901536474#gid=901536474"",""3763!Z2"")"),0.0)</f>
        <v>0</v>
      </c>
      <c r="M77" s="33">
        <f>IFERROR(__xludf.DUMMYFUNCTION("IMPORTRANGE(""https://docs.google.com/spreadsheets/d/1b2lul54I9-5u3ezeokOV5YBImAWXrqMYLSuPw_3-hIw/edit?usp=drive_web&amp;ouid=100730119819154221963"",""3763!Z2"")"),1.0)</f>
        <v>1</v>
      </c>
      <c r="N77" s="102"/>
      <c r="O77" s="103">
        <f t="shared" si="3"/>
        <v>51</v>
      </c>
      <c r="P77" s="104"/>
      <c r="Q77" s="104"/>
      <c r="R77" s="105"/>
      <c r="S77" s="104"/>
      <c r="T77" s="104"/>
      <c r="U77" s="47">
        <f t="shared" si="4"/>
        <v>80</v>
      </c>
      <c r="V77" s="104"/>
      <c r="W77" s="104"/>
      <c r="X77" s="96">
        <v>80.0</v>
      </c>
      <c r="Y77" s="106"/>
      <c r="Z77" s="98"/>
    </row>
    <row r="78">
      <c r="A78" s="40"/>
      <c r="B78" s="53">
        <v>6603764.0</v>
      </c>
      <c r="C78" s="109" t="s">
        <v>190</v>
      </c>
      <c r="D78" s="100" t="s">
        <v>29</v>
      </c>
      <c r="E78" s="111" t="s">
        <v>191</v>
      </c>
      <c r="F78" s="33">
        <f>IFERROR(__xludf.DUMMYFUNCTION("IMPORTRANGE(""https://docs.google.com/spreadsheets/d/1ca8cMhzyOckHdNiYinDsEvnGp85K2P0HF-MddinrGXM/edit?gid=901536474#gid=901536474"",""3764!Z2"")"),8.0)</f>
        <v>8</v>
      </c>
      <c r="G78" s="33">
        <f>IFERROR(__xludf.DUMMYFUNCTION("IMPORTRANGE(""https://docs.google.com/spreadsheets/d/1ZPIx2zimbu-1zeGuxfxkhXNgqhfTssUS5s9k5cZf2wc/edit?gid=901536474#gid=901536474"",""3764!Z2"")"),80.0)</f>
        <v>80</v>
      </c>
      <c r="H78" s="33">
        <f>IFERROR(__xludf.DUMMYFUNCTION("IMPORTRANGE(""https://docs.google.com/spreadsheets/d/1XMcMRG5YO-goaR1U_4jER5WefHmr96--8gyjWBUNI6k/edit?gid=901536474#gid=901536474"",""3764!Z2"")"),18.0)</f>
        <v>18</v>
      </c>
      <c r="I78" s="33">
        <f>IFERROR(__xludf.DUMMYFUNCTION("IMPORTRANGE(""https://docs.google.com/spreadsheets/d/1MA0wBASwppm9FIO036lHI8xvhSVH0v5HYfXfVjKbcyQ/edit?usp=drive_web&amp;ouid=100730119819154221963"",""3764!Z2"")"),0.0)</f>
        <v>0</v>
      </c>
      <c r="J78" s="33">
        <f>IFERROR(__xludf.DUMMYFUNCTION("IMPORTRANGE(""https://docs.google.com/spreadsheets/d/1D2vfyqvZrSRB3H2syxflheuiQYzNPTpGgOdgFd9uWlk/edit?gid=901536474#gid=901536474"",""3764!Z2"")"),0.0)</f>
        <v>0</v>
      </c>
      <c r="K78" s="33">
        <f>IFERROR(__xludf.DUMMYFUNCTION("IMPORTRANGE(""https://docs.google.com/spreadsheets/d/12IEdVEBjKQJvqAAWPA8r9wBGS_rRrYVNO7dHXE_rk60/edit?gid=901536474#gid=901536474"",""3764!Z2"")"),0.0)</f>
        <v>0</v>
      </c>
      <c r="L78" s="33">
        <f>IFERROR(__xludf.DUMMYFUNCTION("IMPORTRANGE(""https://docs.google.com/spreadsheets/d/1LB7ejmtgeP477BH1-F2FJlKUu_JQOyifPAyaNOOGBD0/edit?gid=901536474#gid=901536474"",""3764!Z2"")"),6.0)</f>
        <v>6</v>
      </c>
      <c r="M78" s="33">
        <f>IFERROR(__xludf.DUMMYFUNCTION("IMPORTRANGE(""https://docs.google.com/spreadsheets/d/1b2lul54I9-5u3ezeokOV5YBImAWXrqMYLSuPw_3-hIw/edit?usp=drive_web&amp;ouid=100730119819154221963"",""3764!Z2"")"),2.0)</f>
        <v>2</v>
      </c>
      <c r="N78" s="102"/>
      <c r="O78" s="103">
        <f t="shared" si="3"/>
        <v>114</v>
      </c>
      <c r="P78" s="104"/>
      <c r="Q78" s="104"/>
      <c r="R78" s="105"/>
      <c r="S78" s="104"/>
      <c r="T78" s="104"/>
      <c r="U78" s="47">
        <f t="shared" si="4"/>
        <v>76</v>
      </c>
      <c r="V78" s="104"/>
      <c r="W78" s="104"/>
      <c r="X78" s="96">
        <v>76.0</v>
      </c>
      <c r="Y78" s="106"/>
      <c r="Z78" s="98"/>
    </row>
    <row r="79">
      <c r="A79" s="40"/>
      <c r="B79" s="53">
        <v>6603765.0</v>
      </c>
      <c r="C79" s="109" t="s">
        <v>192</v>
      </c>
      <c r="D79" s="100" t="s">
        <v>29</v>
      </c>
      <c r="E79" s="111" t="s">
        <v>193</v>
      </c>
      <c r="F79" s="33">
        <f>IFERROR(__xludf.DUMMYFUNCTION("IMPORTRANGE(""https://docs.google.com/spreadsheets/d/1ca8cMhzyOckHdNiYinDsEvnGp85K2P0HF-MddinrGXM/edit?gid=901536474#gid=901536474"",""3765!Z2"")"),0.0)</f>
        <v>0</v>
      </c>
      <c r="G79" s="33">
        <f>IFERROR(__xludf.DUMMYFUNCTION("IMPORTRANGE(""https://docs.google.com/spreadsheets/d/1ZPIx2zimbu-1zeGuxfxkhXNgqhfTssUS5s9k5cZf2wc/edit?gid=901536474#gid=901536474"",""3765!Z2"")"),0.0)</f>
        <v>0</v>
      </c>
      <c r="H79" s="33">
        <f>IFERROR(__xludf.DUMMYFUNCTION("IMPORTRANGE(""https://docs.google.com/spreadsheets/d/1XMcMRG5YO-goaR1U_4jER5WefHmr96--8gyjWBUNI6k/edit?gid=901536474#gid=901536474"",""3765!Z2"")"),28.0)</f>
        <v>28</v>
      </c>
      <c r="I79" s="33">
        <f>IFERROR(__xludf.DUMMYFUNCTION("IMPORTRANGE(""https://docs.google.com/spreadsheets/d/1MA0wBASwppm9FIO036lHI8xvhSVH0v5HYfXfVjKbcyQ/edit?usp=drive_web&amp;ouid=100730119819154221963"",""3765!Z2"")"),0.0)</f>
        <v>0</v>
      </c>
      <c r="J79" s="33">
        <f>IFERROR(__xludf.DUMMYFUNCTION("IMPORTRANGE(""https://docs.google.com/spreadsheets/d/1D2vfyqvZrSRB3H2syxflheuiQYzNPTpGgOdgFd9uWlk/edit?gid=901536474#gid=901536474"",""3765!Z2"")"),0.0)</f>
        <v>0</v>
      </c>
      <c r="K79" s="33">
        <f>IFERROR(__xludf.DUMMYFUNCTION("IMPORTRANGE(""https://docs.google.com/spreadsheets/d/12IEdVEBjKQJvqAAWPA8r9wBGS_rRrYVNO7dHXE_rk60/edit?gid=901536474#gid=901536474"",""3765!Z2"")"),0.0)</f>
        <v>0</v>
      </c>
      <c r="L79" s="33">
        <f>IFERROR(__xludf.DUMMYFUNCTION("IMPORTRANGE(""https://docs.google.com/spreadsheets/d/1LB7ejmtgeP477BH1-F2FJlKUu_JQOyifPAyaNOOGBD0/edit?gid=901536474#gid=901536474"",""3765!Z2"")"),0.0)</f>
        <v>0</v>
      </c>
      <c r="M79" s="33">
        <f>IFERROR(__xludf.DUMMYFUNCTION("IMPORTRANGE(""https://docs.google.com/spreadsheets/d/1b2lul54I9-5u3ezeokOV5YBImAWXrqMYLSuPw_3-hIw/edit?usp=drive_web&amp;ouid=100730119819154221963"",""3765!Z2"")"),0.0)</f>
        <v>0</v>
      </c>
      <c r="N79" s="102"/>
      <c r="O79" s="103">
        <f t="shared" si="3"/>
        <v>48</v>
      </c>
      <c r="P79" s="44" t="s">
        <v>34</v>
      </c>
      <c r="Q79" s="104"/>
      <c r="R79" s="108"/>
      <c r="S79" s="108">
        <v>20.0</v>
      </c>
      <c r="T79" s="104"/>
      <c r="U79" s="47">
        <f t="shared" si="4"/>
        <v>170</v>
      </c>
      <c r="V79" s="104"/>
      <c r="W79" s="104"/>
      <c r="X79" s="96">
        <v>170.0</v>
      </c>
      <c r="Y79" s="106"/>
      <c r="Z79" s="98"/>
    </row>
    <row r="80">
      <c r="A80" s="40"/>
      <c r="B80" s="53">
        <v>6603766.0</v>
      </c>
      <c r="C80" s="109" t="s">
        <v>194</v>
      </c>
      <c r="D80" s="43" t="s">
        <v>29</v>
      </c>
      <c r="E80" s="110" t="s">
        <v>195</v>
      </c>
      <c r="F80" s="33">
        <f>IFERROR(__xludf.DUMMYFUNCTION("IMPORTRANGE(""https://docs.google.com/spreadsheets/d/1ca8cMhzyOckHdNiYinDsEvnGp85K2P0HF-MddinrGXM/edit?gid=901536474#gid=901536474"",""3766!Z2"")"),0.0)</f>
        <v>0</v>
      </c>
      <c r="G80" s="33">
        <f>IFERROR(__xludf.DUMMYFUNCTION("IMPORTRANGE(""https://docs.google.com/spreadsheets/d/1ZPIx2zimbu-1zeGuxfxkhXNgqhfTssUS5s9k5cZf2wc/edit?gid=901536474#gid=901536474"",""3766!Z2"")"),60.0)</f>
        <v>60</v>
      </c>
      <c r="H80" s="33">
        <f>IFERROR(__xludf.DUMMYFUNCTION("IMPORTRANGE(""https://docs.google.com/spreadsheets/d/1XMcMRG5YO-goaR1U_4jER5WefHmr96--8gyjWBUNI6k/edit?gid=901536474#gid=901536474"",""3766!Z2"")"),46.0)</f>
        <v>46</v>
      </c>
      <c r="I80" s="33">
        <f>IFERROR(__xludf.DUMMYFUNCTION("IMPORTRANGE(""https://docs.google.com/spreadsheets/d/1MA0wBASwppm9FIO036lHI8xvhSVH0v5HYfXfVjKbcyQ/edit?usp=drive_web&amp;ouid=100730119819154221963"",""3766!Z2"")"),0.0)</f>
        <v>0</v>
      </c>
      <c r="J80" s="33">
        <f>IFERROR(__xludf.DUMMYFUNCTION("IMPORTRANGE(""https://docs.google.com/spreadsheets/d/1D2vfyqvZrSRB3H2syxflheuiQYzNPTpGgOdgFd9uWlk/edit?gid=901536474#gid=901536474"",""3766!Z2"")"),0.0)</f>
        <v>0</v>
      </c>
      <c r="K80" s="33">
        <f>IFERROR(__xludf.DUMMYFUNCTION("IMPORTRANGE(""https://docs.google.com/spreadsheets/d/12IEdVEBjKQJvqAAWPA8r9wBGS_rRrYVNO7dHXE_rk60/edit?gid=901536474#gid=901536474"",""3766!Z2"")"),0.0)</f>
        <v>0</v>
      </c>
      <c r="L80" s="33">
        <f>IFERROR(__xludf.DUMMYFUNCTION("IMPORTRANGE(""https://docs.google.com/spreadsheets/d/1LB7ejmtgeP477BH1-F2FJlKUu_JQOyifPAyaNOOGBD0/edit?gid=901536474#gid=901536474"",""3766!Z2"")"),0.0)</f>
        <v>0</v>
      </c>
      <c r="M80" s="33">
        <f>IFERROR(__xludf.DUMMYFUNCTION("IMPORTRANGE(""https://docs.google.com/spreadsheets/d/1b2lul54I9-5u3ezeokOV5YBImAWXrqMYLSuPw_3-hIw/edit?usp=drive_web&amp;ouid=100730119819154221963"",""3766!Z2"")"),2.0)</f>
        <v>2</v>
      </c>
      <c r="N80" s="102"/>
      <c r="O80" s="103">
        <f t="shared" si="3"/>
        <v>128</v>
      </c>
      <c r="P80" s="112" t="s">
        <v>196</v>
      </c>
      <c r="Q80" s="104"/>
      <c r="R80" s="108"/>
      <c r="S80" s="108">
        <v>20.0</v>
      </c>
      <c r="T80" s="104"/>
      <c r="U80" s="47">
        <f t="shared" si="4"/>
        <v>97</v>
      </c>
      <c r="V80" s="104"/>
      <c r="W80" s="104"/>
      <c r="X80" s="96">
        <v>97.0</v>
      </c>
      <c r="Y80" s="106"/>
      <c r="Z80" s="98"/>
    </row>
    <row r="81">
      <c r="A81" s="40"/>
      <c r="B81" s="53">
        <v>6603767.0</v>
      </c>
      <c r="C81" s="109" t="s">
        <v>197</v>
      </c>
      <c r="D81" s="43" t="s">
        <v>29</v>
      </c>
      <c r="E81" s="110" t="s">
        <v>198</v>
      </c>
      <c r="F81" s="33">
        <f>IFERROR(__xludf.DUMMYFUNCTION("IMPORTRANGE(""https://docs.google.com/spreadsheets/d/1ca8cMhzyOckHdNiYinDsEvnGp85K2P0HF-MddinrGXM/edit?gid=901536474#gid=901536474"",""3767!Z2"")"),0.0)</f>
        <v>0</v>
      </c>
      <c r="G81" s="33">
        <f>IFERROR(__xludf.DUMMYFUNCTION("IMPORTRANGE(""https://docs.google.com/spreadsheets/d/1ZPIx2zimbu-1zeGuxfxkhXNgqhfTssUS5s9k5cZf2wc/edit?gid=901536474#gid=901536474"",""3767!Z2"")"),28.0)</f>
        <v>28</v>
      </c>
      <c r="H81" s="33">
        <f>IFERROR(__xludf.DUMMYFUNCTION("IMPORTRANGE(""https://docs.google.com/spreadsheets/d/1XMcMRG5YO-goaR1U_4jER5WefHmr96--8gyjWBUNI6k/edit?gid=901536474#gid=901536474"",""3767!Z2"")"),45.0)</f>
        <v>45</v>
      </c>
      <c r="I81" s="33">
        <f>IFERROR(__xludf.DUMMYFUNCTION("IMPORTRANGE(""https://docs.google.com/spreadsheets/d/1MA0wBASwppm9FIO036lHI8xvhSVH0v5HYfXfVjKbcyQ/edit?usp=drive_web&amp;ouid=100730119819154221963"",""3767!Z2"")"),0.0)</f>
        <v>0</v>
      </c>
      <c r="J81" s="33">
        <f>IFERROR(__xludf.DUMMYFUNCTION("IMPORTRANGE(""https://docs.google.com/spreadsheets/d/1D2vfyqvZrSRB3H2syxflheuiQYzNPTpGgOdgFd9uWlk/edit?gid=901536474#gid=901536474"",""3767!Z2"")"),0.0)</f>
        <v>0</v>
      </c>
      <c r="K81" s="33">
        <f>IFERROR(__xludf.DUMMYFUNCTION("IMPORTRANGE(""https://docs.google.com/spreadsheets/d/12IEdVEBjKQJvqAAWPA8r9wBGS_rRrYVNO7dHXE_rk60/edit?gid=901536474#gid=901536474"",""3767!Z2"")"),0.0)</f>
        <v>0</v>
      </c>
      <c r="L81" s="33">
        <f>IFERROR(__xludf.DUMMYFUNCTION("IMPORTRANGE(""https://docs.google.com/spreadsheets/d/1LB7ejmtgeP477BH1-F2FJlKUu_JQOyifPAyaNOOGBD0/edit?gid=901536474#gid=901536474"",""3767!Z2"")"),0.0)</f>
        <v>0</v>
      </c>
      <c r="M81" s="33">
        <f>IFERROR(__xludf.DUMMYFUNCTION("IMPORTRANGE(""https://docs.google.com/spreadsheets/d/1b2lul54I9-5u3ezeokOV5YBImAWXrqMYLSuPw_3-hIw/edit?usp=drive_web&amp;ouid=100730119819154221963"",""3767!Z2"")"),0.0)</f>
        <v>0</v>
      </c>
      <c r="N81" s="102"/>
      <c r="O81" s="103">
        <f t="shared" si="3"/>
        <v>73</v>
      </c>
      <c r="P81" s="104"/>
      <c r="Q81" s="104"/>
      <c r="R81" s="105"/>
      <c r="S81" s="104"/>
      <c r="T81" s="104"/>
      <c r="U81" s="47">
        <f t="shared" si="4"/>
        <v>79</v>
      </c>
      <c r="V81" s="104"/>
      <c r="W81" s="104"/>
      <c r="X81" s="96">
        <v>79.0</v>
      </c>
      <c r="Y81" s="106"/>
      <c r="Z81" s="98"/>
    </row>
    <row r="82">
      <c r="A82" s="40"/>
      <c r="B82" s="53">
        <v>6603768.0</v>
      </c>
      <c r="C82" s="109" t="s">
        <v>199</v>
      </c>
      <c r="D82" s="43" t="s">
        <v>29</v>
      </c>
      <c r="E82" s="110" t="s">
        <v>200</v>
      </c>
      <c r="F82" s="33">
        <f>IFERROR(__xludf.DUMMYFUNCTION("IMPORTRANGE(""https://docs.google.com/spreadsheets/d/1ca8cMhzyOckHdNiYinDsEvnGp85K2P0HF-MddinrGXM/edit?gid=901536474#gid=901536474"",""3768!Z2"")"),0.0)</f>
        <v>0</v>
      </c>
      <c r="G82" s="33">
        <f>IFERROR(__xludf.DUMMYFUNCTION("IMPORTRANGE(""https://docs.google.com/spreadsheets/d/1ZPIx2zimbu-1zeGuxfxkhXNgqhfTssUS5s9k5cZf2wc/edit?gid=901536474#gid=901536474"",""3768!Z2"")"),28.0)</f>
        <v>28</v>
      </c>
      <c r="H82" s="33">
        <f>IFERROR(__xludf.DUMMYFUNCTION("IMPORTRANGE(""https://docs.google.com/spreadsheets/d/1XMcMRG5YO-goaR1U_4jER5WefHmr96--8gyjWBUNI6k/edit?gid=901536474#gid=901536474"",""3768!Z2"")"),16.0)</f>
        <v>16</v>
      </c>
      <c r="I82" s="33">
        <f>IFERROR(__xludf.DUMMYFUNCTION("IMPORTRANGE(""https://docs.google.com/spreadsheets/d/1MA0wBASwppm9FIO036lHI8xvhSVH0v5HYfXfVjKbcyQ/edit?usp=drive_web&amp;ouid=100730119819154221963"",""3768!Z2"")"),0.0)</f>
        <v>0</v>
      </c>
      <c r="J82" s="33">
        <f>IFERROR(__xludf.DUMMYFUNCTION("IMPORTRANGE(""https://docs.google.com/spreadsheets/d/1D2vfyqvZrSRB3H2syxflheuiQYzNPTpGgOdgFd9uWlk/edit?gid=901536474#gid=901536474"",""3768!Z2"")"),0.0)</f>
        <v>0</v>
      </c>
      <c r="K82" s="33">
        <f>IFERROR(__xludf.DUMMYFUNCTION("IMPORTRANGE(""https://docs.google.com/spreadsheets/d/12IEdVEBjKQJvqAAWPA8r9wBGS_rRrYVNO7dHXE_rk60/edit?gid=901536474#gid=901536474"",""3768!Z2"")"),0.0)</f>
        <v>0</v>
      </c>
      <c r="L82" s="33">
        <f>IFERROR(__xludf.DUMMYFUNCTION("IMPORTRANGE(""https://docs.google.com/spreadsheets/d/1LB7ejmtgeP477BH1-F2FJlKUu_JQOyifPAyaNOOGBD0/edit?gid=901536474#gid=901536474"",""3768!Z2"")"),0.0)</f>
        <v>0</v>
      </c>
      <c r="M82" s="33">
        <f>IFERROR(__xludf.DUMMYFUNCTION("IMPORTRANGE(""https://docs.google.com/spreadsheets/d/1b2lul54I9-5u3ezeokOV5YBImAWXrqMYLSuPw_3-hIw/edit?usp=drive_web&amp;ouid=100730119819154221963"",""3768!Z2"")"),0.0)</f>
        <v>0</v>
      </c>
      <c r="N82" s="45"/>
      <c r="O82" s="41">
        <f t="shared" si="3"/>
        <v>64</v>
      </c>
      <c r="P82" s="44" t="s">
        <v>34</v>
      </c>
      <c r="Q82" s="104"/>
      <c r="R82" s="108"/>
      <c r="S82" s="108">
        <v>20.0</v>
      </c>
      <c r="T82" s="104"/>
      <c r="U82" s="47">
        <f t="shared" si="4"/>
        <v>119</v>
      </c>
      <c r="V82" s="104"/>
      <c r="W82" s="104"/>
      <c r="X82" s="96">
        <v>119.0</v>
      </c>
      <c r="Y82" s="106"/>
      <c r="Z82" s="98"/>
    </row>
    <row r="83">
      <c r="A83" s="40"/>
      <c r="B83" s="53">
        <v>6603769.0</v>
      </c>
      <c r="C83" s="109" t="s">
        <v>201</v>
      </c>
      <c r="D83" s="43" t="s">
        <v>29</v>
      </c>
      <c r="E83" s="110" t="s">
        <v>202</v>
      </c>
      <c r="F83" s="33">
        <f>IFERROR(__xludf.DUMMYFUNCTION("IMPORTRANGE(""https://docs.google.com/spreadsheets/d/1ca8cMhzyOckHdNiYinDsEvnGp85K2P0HF-MddinrGXM/edit?gid=901536474#gid=901536474"",""3769!Z2"")"),8.0)</f>
        <v>8</v>
      </c>
      <c r="G83" s="33">
        <f>IFERROR(__xludf.DUMMYFUNCTION("IMPORTRANGE(""https://docs.google.com/spreadsheets/d/1ZPIx2zimbu-1zeGuxfxkhXNgqhfTssUS5s9k5cZf2wc/edit?gid=901536474#gid=901536474"",""3769!Z2"")"),64.0)</f>
        <v>64</v>
      </c>
      <c r="H83" s="33">
        <f>IFERROR(__xludf.DUMMYFUNCTION("IMPORTRANGE(""https://docs.google.com/spreadsheets/d/1XMcMRG5YO-goaR1U_4jER5WefHmr96--8gyjWBUNI6k/edit?gid=901536474#gid=901536474"",""3769!Z2"")"),27.0)</f>
        <v>27</v>
      </c>
      <c r="I83" s="33">
        <f>IFERROR(__xludf.DUMMYFUNCTION("IMPORTRANGE(""https://docs.google.com/spreadsheets/d/1MA0wBASwppm9FIO036lHI8xvhSVH0v5HYfXfVjKbcyQ/edit?usp=drive_web&amp;ouid=100730119819154221963"",""3769!Z2"")"),0.0)</f>
        <v>0</v>
      </c>
      <c r="J83" s="33">
        <f>IFERROR(__xludf.DUMMYFUNCTION("IMPORTRANGE(""https://docs.google.com/spreadsheets/d/1D2vfyqvZrSRB3H2syxflheuiQYzNPTpGgOdgFd9uWlk/edit?gid=901536474#gid=901536474"",""3769!Z2"")"),0.0)</f>
        <v>0</v>
      </c>
      <c r="K83" s="33">
        <f>IFERROR(__xludf.DUMMYFUNCTION("IMPORTRANGE(""https://docs.google.com/spreadsheets/d/12IEdVEBjKQJvqAAWPA8r9wBGS_rRrYVNO7dHXE_rk60/edit?gid=901536474#gid=901536474"",""3769!Z2"")"),0.0)</f>
        <v>0</v>
      </c>
      <c r="L83" s="33">
        <f>IFERROR(__xludf.DUMMYFUNCTION("IMPORTRANGE(""https://docs.google.com/spreadsheets/d/1LB7ejmtgeP477BH1-F2FJlKUu_JQOyifPAyaNOOGBD0/edit?gid=901536474#gid=901536474"",""3769!Z2"")"),0.0)</f>
        <v>0</v>
      </c>
      <c r="M83" s="33">
        <f>IFERROR(__xludf.DUMMYFUNCTION("IMPORTRANGE(""https://docs.google.com/spreadsheets/d/1b2lul54I9-5u3ezeokOV5YBImAWXrqMYLSuPw_3-hIw/edit?usp=drive_web&amp;ouid=100730119819154221963"",""3769!Z2"")"),0.0)</f>
        <v>0</v>
      </c>
      <c r="N83" s="45"/>
      <c r="O83" s="41">
        <f t="shared" si="3"/>
        <v>99</v>
      </c>
      <c r="P83" s="104"/>
      <c r="Q83" s="104"/>
      <c r="R83" s="105"/>
      <c r="S83" s="104"/>
      <c r="T83" s="104"/>
      <c r="U83" s="47">
        <f t="shared" si="4"/>
        <v>106</v>
      </c>
      <c r="V83" s="104"/>
      <c r="W83" s="104"/>
      <c r="X83" s="96">
        <v>106.0</v>
      </c>
      <c r="Y83" s="106"/>
      <c r="Z83" s="98"/>
    </row>
    <row r="84">
      <c r="A84" s="40"/>
      <c r="B84" s="53">
        <v>6603770.0</v>
      </c>
      <c r="C84" s="109" t="s">
        <v>203</v>
      </c>
      <c r="D84" s="43" t="s">
        <v>29</v>
      </c>
      <c r="E84" s="110" t="s">
        <v>204</v>
      </c>
      <c r="F84" s="33">
        <f>IFERROR(__xludf.DUMMYFUNCTION("IMPORTRANGE(""https://docs.google.com/spreadsheets/d/1ca8cMhzyOckHdNiYinDsEvnGp85K2P0HF-MddinrGXM/edit?gid=901536474#gid=901536474"",""3770!Z2"")"),0.0)</f>
        <v>0</v>
      </c>
      <c r="G84" s="33">
        <f>IFERROR(__xludf.DUMMYFUNCTION("IMPORTRANGE(""https://docs.google.com/spreadsheets/d/1ZPIx2zimbu-1zeGuxfxkhXNgqhfTssUS5s9k5cZf2wc/edit?gid=901536474#gid=901536474"",""3770!Z2"")"),16.0)</f>
        <v>16</v>
      </c>
      <c r="H84" s="33">
        <f>IFERROR(__xludf.DUMMYFUNCTION("IMPORTRANGE(""https://docs.google.com/spreadsheets/d/1XMcMRG5YO-goaR1U_4jER5WefHmr96--8gyjWBUNI6k/edit?gid=901536474#gid=901536474"",""3770!Z2"")"),21.0)</f>
        <v>21</v>
      </c>
      <c r="I84" s="33">
        <f>IFERROR(__xludf.DUMMYFUNCTION("IMPORTRANGE(""https://docs.google.com/spreadsheets/d/1MA0wBASwppm9FIO036lHI8xvhSVH0v5HYfXfVjKbcyQ/edit?usp=drive_web&amp;ouid=100730119819154221963"",""3770!Z2"")"),0.0)</f>
        <v>0</v>
      </c>
      <c r="J84" s="33">
        <f>IFERROR(__xludf.DUMMYFUNCTION("IMPORTRANGE(""https://docs.google.com/spreadsheets/d/1D2vfyqvZrSRB3H2syxflheuiQYzNPTpGgOdgFd9uWlk/edit?gid=901536474#gid=901536474"",""3770!Z2"")"),4.0)</f>
        <v>4</v>
      </c>
      <c r="K84" s="33">
        <f>IFERROR(__xludf.DUMMYFUNCTION("IMPORTRANGE(""https://docs.google.com/spreadsheets/d/12IEdVEBjKQJvqAAWPA8r9wBGS_rRrYVNO7dHXE_rk60/edit?gid=901536474#gid=901536474"",""3770!Z2"")"),0.0)</f>
        <v>0</v>
      </c>
      <c r="L84" s="33">
        <f>IFERROR(__xludf.DUMMYFUNCTION("IMPORTRANGE(""https://docs.google.com/spreadsheets/d/1LB7ejmtgeP477BH1-F2FJlKUu_JQOyifPAyaNOOGBD0/edit?gid=901536474#gid=901536474"",""3770!Z2"")"),0.0)</f>
        <v>0</v>
      </c>
      <c r="M84" s="33">
        <f>IFERROR(__xludf.DUMMYFUNCTION("IMPORTRANGE(""https://docs.google.com/spreadsheets/d/1b2lul54I9-5u3ezeokOV5YBImAWXrqMYLSuPw_3-hIw/edit?usp=drive_web&amp;ouid=100730119819154221963"",""3770!Z2"")"),0.0)</f>
        <v>0</v>
      </c>
      <c r="N84" s="45"/>
      <c r="O84" s="41">
        <f t="shared" si="3"/>
        <v>61</v>
      </c>
      <c r="P84" s="44" t="s">
        <v>196</v>
      </c>
      <c r="Q84" s="104"/>
      <c r="R84" s="108"/>
      <c r="S84" s="108">
        <v>20.0</v>
      </c>
      <c r="T84" s="104"/>
      <c r="U84" s="47">
        <f t="shared" si="4"/>
        <v>134</v>
      </c>
      <c r="V84" s="104"/>
      <c r="W84" s="104"/>
      <c r="X84" s="96">
        <v>134.0</v>
      </c>
      <c r="Y84" s="106"/>
      <c r="Z84" s="98"/>
    </row>
    <row r="85">
      <c r="A85" s="40"/>
      <c r="B85" s="53">
        <v>6603771.0</v>
      </c>
      <c r="C85" s="109" t="s">
        <v>205</v>
      </c>
      <c r="D85" s="43" t="s">
        <v>29</v>
      </c>
      <c r="E85" s="110" t="s">
        <v>206</v>
      </c>
      <c r="F85" s="33">
        <f>IFERROR(__xludf.DUMMYFUNCTION("IMPORTRANGE(""https://docs.google.com/spreadsheets/d/1ca8cMhzyOckHdNiYinDsEvnGp85K2P0HF-MddinrGXM/edit?gid=901536474#gid=901536474"",""3771!Z2"")"),0.0)</f>
        <v>0</v>
      </c>
      <c r="G85" s="33">
        <f>IFERROR(__xludf.DUMMYFUNCTION("IMPORTRANGE(""https://docs.google.com/spreadsheets/d/1ZPIx2zimbu-1zeGuxfxkhXNgqhfTssUS5s9k5cZf2wc/edit?gid=901536474#gid=901536474"",""3771!Z2"")"),113.0)</f>
        <v>113</v>
      </c>
      <c r="H85" s="33">
        <f>IFERROR(__xludf.DUMMYFUNCTION("IMPORTRANGE(""https://docs.google.com/spreadsheets/d/1XMcMRG5YO-goaR1U_4jER5WefHmr96--8gyjWBUNI6k/edit?gid=901536474#gid=901536474"",""3771!Z2"")"),65.0)</f>
        <v>65</v>
      </c>
      <c r="I85" s="33">
        <f>IFERROR(__xludf.DUMMYFUNCTION("IMPORTRANGE(""https://docs.google.com/spreadsheets/d/1MA0wBASwppm9FIO036lHI8xvhSVH0v5HYfXfVjKbcyQ/edit?usp=drive_web&amp;ouid=100730119819154221963"",""3771!Z2"")"),0.0)</f>
        <v>0</v>
      </c>
      <c r="J85" s="33">
        <f>IFERROR(__xludf.DUMMYFUNCTION("IMPORTRANGE(""https://docs.google.com/spreadsheets/d/1D2vfyqvZrSRB3H2syxflheuiQYzNPTpGgOdgFd9uWlk/edit?gid=901536474#gid=901536474"",""3771!Z2"")"),0.0)</f>
        <v>0</v>
      </c>
      <c r="K85" s="33">
        <f>IFERROR(__xludf.DUMMYFUNCTION("IMPORTRANGE(""https://docs.google.com/spreadsheets/d/12IEdVEBjKQJvqAAWPA8r9wBGS_rRrYVNO7dHXE_rk60/edit?gid=901536474#gid=901536474"",""3771!Z2"")"),0.0)</f>
        <v>0</v>
      </c>
      <c r="L85" s="33">
        <f>IFERROR(__xludf.DUMMYFUNCTION("IMPORTRANGE(""https://docs.google.com/spreadsheets/d/1LB7ejmtgeP477BH1-F2FJlKUu_JQOyifPAyaNOOGBD0/edit?gid=901536474#gid=901536474"",""3771!Z2"")"),0.0)</f>
        <v>0</v>
      </c>
      <c r="M85" s="33">
        <f>IFERROR(__xludf.DUMMYFUNCTION("IMPORTRANGE(""https://docs.google.com/spreadsheets/d/1b2lul54I9-5u3ezeokOV5YBImAWXrqMYLSuPw_3-hIw/edit?usp=drive_web&amp;ouid=100730119819154221963"",""3771!Z2"")"),0.0)</f>
        <v>0</v>
      </c>
      <c r="N85" s="45"/>
      <c r="O85" s="41">
        <f t="shared" si="3"/>
        <v>178</v>
      </c>
      <c r="P85" s="104"/>
      <c r="Q85" s="104"/>
      <c r="R85" s="105"/>
      <c r="S85" s="104"/>
      <c r="T85" s="104"/>
      <c r="U85" s="47">
        <f t="shared" si="4"/>
        <v>127</v>
      </c>
      <c r="V85" s="104"/>
      <c r="W85" s="104"/>
      <c r="X85" s="96">
        <v>127.0</v>
      </c>
      <c r="Y85" s="106"/>
      <c r="Z85" s="98"/>
    </row>
    <row r="86">
      <c r="A86" s="40"/>
      <c r="B86" s="53">
        <v>6603772.0</v>
      </c>
      <c r="C86" s="109" t="s">
        <v>207</v>
      </c>
      <c r="D86" s="100" t="s">
        <v>29</v>
      </c>
      <c r="E86" s="111" t="s">
        <v>208</v>
      </c>
      <c r="F86" s="33">
        <f>IFERROR(__xludf.DUMMYFUNCTION("IMPORTRANGE(""https://docs.google.com/spreadsheets/d/1ca8cMhzyOckHdNiYinDsEvnGp85K2P0HF-MddinrGXM/edit?gid=901536474#gid=901536474"",""3772!Z2"")"),0.0)</f>
        <v>0</v>
      </c>
      <c r="G86" s="33">
        <f>IFERROR(__xludf.DUMMYFUNCTION("IMPORTRANGE(""https://docs.google.com/spreadsheets/d/1ZPIx2zimbu-1zeGuxfxkhXNgqhfTssUS5s9k5cZf2wc/edit?gid=901536474#gid=901536474"",""3772!Z2"")"),68.0)</f>
        <v>68</v>
      </c>
      <c r="H86" s="33">
        <f>IFERROR(__xludf.DUMMYFUNCTION("IMPORTRANGE(""https://docs.google.com/spreadsheets/d/1XMcMRG5YO-goaR1U_4jER5WefHmr96--8gyjWBUNI6k/edit?gid=901536474#gid=901536474"",""3772!Z2"")"),7.0)</f>
        <v>7</v>
      </c>
      <c r="I86" s="33">
        <f>IFERROR(__xludf.DUMMYFUNCTION("IMPORTRANGE(""https://docs.google.com/spreadsheets/d/1MA0wBASwppm9FIO036lHI8xvhSVH0v5HYfXfVjKbcyQ/edit?usp=drive_web&amp;ouid=100730119819154221963"",""3772!Z2"")"),0.0)</f>
        <v>0</v>
      </c>
      <c r="J86" s="33">
        <f>IFERROR(__xludf.DUMMYFUNCTION("IMPORTRANGE(""https://docs.google.com/spreadsheets/d/1D2vfyqvZrSRB3H2syxflheuiQYzNPTpGgOdgFd9uWlk/edit?gid=901536474#gid=901536474"",""3772!Z2"")"),0.0)</f>
        <v>0</v>
      </c>
      <c r="K86" s="33">
        <f>IFERROR(__xludf.DUMMYFUNCTION("IMPORTRANGE(""https://docs.google.com/spreadsheets/d/12IEdVEBjKQJvqAAWPA8r9wBGS_rRrYVNO7dHXE_rk60/edit?gid=901536474#gid=901536474"",""3772!Z2"")"),0.0)</f>
        <v>0</v>
      </c>
      <c r="L86" s="33">
        <f>IFERROR(__xludf.DUMMYFUNCTION("IMPORTRANGE(""https://docs.google.com/spreadsheets/d/1LB7ejmtgeP477BH1-F2FJlKUu_JQOyifPAyaNOOGBD0/edit?gid=901536474#gid=901536474"",""3772!Z2"")"),0.0)</f>
        <v>0</v>
      </c>
      <c r="M86" s="33">
        <f>IFERROR(__xludf.DUMMYFUNCTION("IMPORTRANGE(""https://docs.google.com/spreadsheets/d/1b2lul54I9-5u3ezeokOV5YBImAWXrqMYLSuPw_3-hIw/edit?usp=drive_web&amp;ouid=100730119819154221963"",""3772!Z2"")"),2.0)</f>
        <v>2</v>
      </c>
      <c r="N86" s="102"/>
      <c r="O86" s="103">
        <f t="shared" si="3"/>
        <v>77</v>
      </c>
      <c r="P86" s="104"/>
      <c r="Q86" s="104"/>
      <c r="R86" s="105"/>
      <c r="S86" s="104"/>
      <c r="T86" s="104"/>
      <c r="U86" s="47">
        <f t="shared" si="4"/>
        <v>70</v>
      </c>
      <c r="V86" s="104"/>
      <c r="W86" s="104"/>
      <c r="X86" s="96">
        <v>70.0</v>
      </c>
      <c r="Y86" s="106"/>
      <c r="Z86" s="98"/>
    </row>
    <row r="87">
      <c r="A87" s="40"/>
      <c r="B87" s="53">
        <v>6603773.0</v>
      </c>
      <c r="C87" s="109" t="s">
        <v>209</v>
      </c>
      <c r="D87" s="43" t="s">
        <v>29</v>
      </c>
      <c r="E87" s="110" t="s">
        <v>210</v>
      </c>
      <c r="F87" s="33">
        <f>IFERROR(__xludf.DUMMYFUNCTION("IMPORTRANGE(""https://docs.google.com/spreadsheets/d/1ca8cMhzyOckHdNiYinDsEvnGp85K2P0HF-MddinrGXM/edit?gid=901536474#gid=901536474"",""3773!Z2"")"),16.0)</f>
        <v>16</v>
      </c>
      <c r="G87" s="33">
        <f>IFERROR(__xludf.DUMMYFUNCTION("IMPORTRANGE(""https://docs.google.com/spreadsheets/d/1ZPIx2zimbu-1zeGuxfxkhXNgqhfTssUS5s9k5cZf2wc/edit?gid=901536474#gid=901536474"",""3773!Z2"")"),49.0)</f>
        <v>49</v>
      </c>
      <c r="H87" s="33">
        <f>IFERROR(__xludf.DUMMYFUNCTION("IMPORTRANGE(""https://docs.google.com/spreadsheets/d/1XMcMRG5YO-goaR1U_4jER5WefHmr96--8gyjWBUNI6k/edit?gid=901536474#gid=901536474"",""3773!Z2"")"),73.0)</f>
        <v>73</v>
      </c>
      <c r="I87" s="33">
        <f>IFERROR(__xludf.DUMMYFUNCTION("IMPORTRANGE(""https://docs.google.com/spreadsheets/d/1MA0wBASwppm9FIO036lHI8xvhSVH0v5HYfXfVjKbcyQ/edit?usp=drive_web&amp;ouid=100730119819154221963"",""3773!Z2"")"),0.0)</f>
        <v>0</v>
      </c>
      <c r="J87" s="33">
        <f>IFERROR(__xludf.DUMMYFUNCTION("IMPORTRANGE(""https://docs.google.com/spreadsheets/d/1D2vfyqvZrSRB3H2syxflheuiQYzNPTpGgOdgFd9uWlk/edit?gid=901536474#gid=901536474"",""3773!Z2"")"),0.0)</f>
        <v>0</v>
      </c>
      <c r="K87" s="33">
        <f>IFERROR(__xludf.DUMMYFUNCTION("IMPORTRANGE(""https://docs.google.com/spreadsheets/d/12IEdVEBjKQJvqAAWPA8r9wBGS_rRrYVNO7dHXE_rk60/edit?gid=901536474#gid=901536474"",""3773!Z2"")"),0.0)</f>
        <v>0</v>
      </c>
      <c r="L87" s="33">
        <f>IFERROR(__xludf.DUMMYFUNCTION("IMPORTRANGE(""https://docs.google.com/spreadsheets/d/1LB7ejmtgeP477BH1-F2FJlKUu_JQOyifPAyaNOOGBD0/edit?gid=901536474#gid=901536474"",""3773!Z2"")"),0.0)</f>
        <v>0</v>
      </c>
      <c r="M87" s="33">
        <f>IFERROR(__xludf.DUMMYFUNCTION("IMPORTRANGE(""https://docs.google.com/spreadsheets/d/1b2lul54I9-5u3ezeokOV5YBImAWXrqMYLSuPw_3-hIw/edit?usp=drive_web&amp;ouid=100730119819154221963"",""3773!Z2"")"),0.0)</f>
        <v>0</v>
      </c>
      <c r="N87" s="102"/>
      <c r="O87" s="103">
        <f t="shared" si="3"/>
        <v>138</v>
      </c>
      <c r="P87" s="104"/>
      <c r="Q87" s="104"/>
      <c r="R87" s="105"/>
      <c r="S87" s="104"/>
      <c r="T87" s="104"/>
      <c r="U87" s="47">
        <f t="shared" si="4"/>
        <v>87</v>
      </c>
      <c r="V87" s="104"/>
      <c r="W87" s="104"/>
      <c r="X87" s="96">
        <v>87.0</v>
      </c>
      <c r="Y87" s="106"/>
      <c r="Z87" s="98"/>
    </row>
    <row r="88">
      <c r="A88" s="40"/>
      <c r="B88" s="53">
        <v>6603774.0</v>
      </c>
      <c r="C88" s="109" t="s">
        <v>211</v>
      </c>
      <c r="D88" s="43" t="s">
        <v>29</v>
      </c>
      <c r="E88" s="110" t="s">
        <v>212</v>
      </c>
      <c r="F88" s="33">
        <f>IFERROR(__xludf.DUMMYFUNCTION("IMPORTRANGE(""https://docs.google.com/spreadsheets/d/1ca8cMhzyOckHdNiYinDsEvnGp85K2P0HF-MddinrGXM/edit?gid=901536474#gid=901536474"",""3774!Z2"")"),0.0)</f>
        <v>0</v>
      </c>
      <c r="G88" s="33">
        <f>IFERROR(__xludf.DUMMYFUNCTION("IMPORTRANGE(""https://docs.google.com/spreadsheets/d/1ZPIx2zimbu-1zeGuxfxkhXNgqhfTssUS5s9k5cZf2wc/edit?gid=901536474#gid=901536474"",""3774!Z2"")"),48.0)</f>
        <v>48</v>
      </c>
      <c r="H88" s="33">
        <f>IFERROR(__xludf.DUMMYFUNCTION("IMPORTRANGE(""https://docs.google.com/spreadsheets/d/1XMcMRG5YO-goaR1U_4jER5WefHmr96--8gyjWBUNI6k/edit?gid=901536474#gid=901536474"",""3774!Z2"")"),23.0)</f>
        <v>23</v>
      </c>
      <c r="I88" s="33">
        <f>IFERROR(__xludf.DUMMYFUNCTION("IMPORTRANGE(""https://docs.google.com/spreadsheets/d/1MA0wBASwppm9FIO036lHI8xvhSVH0v5HYfXfVjKbcyQ/edit?usp=drive_web&amp;ouid=100730119819154221963"",""3774!Z2"")"),0.0)</f>
        <v>0</v>
      </c>
      <c r="J88" s="33">
        <f>IFERROR(__xludf.DUMMYFUNCTION("IMPORTRANGE(""https://docs.google.com/spreadsheets/d/1D2vfyqvZrSRB3H2syxflheuiQYzNPTpGgOdgFd9uWlk/edit?gid=901536474#gid=901536474"",""3774!Z2"")"),0.0)</f>
        <v>0</v>
      </c>
      <c r="K88" s="33">
        <f>IFERROR(__xludf.DUMMYFUNCTION("IMPORTRANGE(""https://docs.google.com/spreadsheets/d/12IEdVEBjKQJvqAAWPA8r9wBGS_rRrYVNO7dHXE_rk60/edit?gid=901536474#gid=901536474"",""3774!Z2"")"),0.0)</f>
        <v>0</v>
      </c>
      <c r="L88" s="33">
        <f>IFERROR(__xludf.DUMMYFUNCTION("IMPORTRANGE(""https://docs.google.com/spreadsheets/d/1LB7ejmtgeP477BH1-F2FJlKUu_JQOyifPAyaNOOGBD0/edit?gid=901536474#gid=901536474"",""3774!Z2"")"),0.0)</f>
        <v>0</v>
      </c>
      <c r="M88" s="33">
        <f>IFERROR(__xludf.DUMMYFUNCTION("IMPORTRANGE(""https://docs.google.com/spreadsheets/d/1b2lul54I9-5u3ezeokOV5YBImAWXrqMYLSuPw_3-hIw/edit?usp=drive_web&amp;ouid=100730119819154221963"",""3774!Z2"")"),0.0)</f>
        <v>0</v>
      </c>
      <c r="N88" s="45"/>
      <c r="O88" s="41">
        <f t="shared" si="3"/>
        <v>71</v>
      </c>
      <c r="P88" s="104"/>
      <c r="Q88" s="104"/>
      <c r="R88" s="105"/>
      <c r="S88" s="104"/>
      <c r="T88" s="104"/>
      <c r="U88" s="47">
        <f t="shared" si="4"/>
        <v>90</v>
      </c>
      <c r="V88" s="104"/>
      <c r="W88" s="104"/>
      <c r="X88" s="96">
        <v>90.0</v>
      </c>
      <c r="Y88" s="106"/>
      <c r="Z88" s="98"/>
    </row>
    <row r="89">
      <c r="A89" s="40"/>
      <c r="B89" s="53">
        <v>6603775.0</v>
      </c>
      <c r="C89" s="109" t="s">
        <v>213</v>
      </c>
      <c r="D89" s="43" t="s">
        <v>29</v>
      </c>
      <c r="E89" s="110" t="s">
        <v>214</v>
      </c>
      <c r="F89" s="33">
        <f>IFERROR(__xludf.DUMMYFUNCTION("IMPORTRANGE(""https://docs.google.com/spreadsheets/d/1ca8cMhzyOckHdNiYinDsEvnGp85K2P0HF-MddinrGXM/edit?gid=901536474#gid=901536474"",""3775!Z2"")"),0.0)</f>
        <v>0</v>
      </c>
      <c r="G89" s="33">
        <f>IFERROR(__xludf.DUMMYFUNCTION("IMPORTRANGE(""https://docs.google.com/spreadsheets/d/1ZPIx2zimbu-1zeGuxfxkhXNgqhfTssUS5s9k5cZf2wc/edit?gid=901536474#gid=901536474"",""3775!Z2"")"),0.0)</f>
        <v>0</v>
      </c>
      <c r="H89" s="33">
        <f>IFERROR(__xludf.DUMMYFUNCTION("IMPORTRANGE(""https://docs.google.com/spreadsheets/d/1XMcMRG5YO-goaR1U_4jER5WefHmr96--8gyjWBUNI6k/edit?gid=901536474#gid=901536474"",""3775!Z2"")"),0.0)</f>
        <v>0</v>
      </c>
      <c r="I89" s="33">
        <f>IFERROR(__xludf.DUMMYFUNCTION("IMPORTRANGE(""https://docs.google.com/spreadsheets/d/1MA0wBASwppm9FIO036lHI8xvhSVH0v5HYfXfVjKbcyQ/edit?usp=drive_web&amp;ouid=100730119819154221963"",""3775!Z2"")"),0.0)</f>
        <v>0</v>
      </c>
      <c r="J89" s="33">
        <f>IFERROR(__xludf.DUMMYFUNCTION("IMPORTRANGE(""https://docs.google.com/spreadsheets/d/1D2vfyqvZrSRB3H2syxflheuiQYzNPTpGgOdgFd9uWlk/edit?gid=901536474#gid=901536474"",""3775!Z2"")"),0.0)</f>
        <v>0</v>
      </c>
      <c r="K89" s="33">
        <f>IFERROR(__xludf.DUMMYFUNCTION("IMPORTRANGE(""https://docs.google.com/spreadsheets/d/12IEdVEBjKQJvqAAWPA8r9wBGS_rRrYVNO7dHXE_rk60/edit?gid=901536474#gid=901536474"",""3775!Z2"")"),0.0)</f>
        <v>0</v>
      </c>
      <c r="L89" s="33">
        <f>IFERROR(__xludf.DUMMYFUNCTION("IMPORTRANGE(""https://docs.google.com/spreadsheets/d/1LB7ejmtgeP477BH1-F2FJlKUu_JQOyifPAyaNOOGBD0/edit?gid=901536474#gid=901536474"",""3775!Z2"")"),0.0)</f>
        <v>0</v>
      </c>
      <c r="M89" s="33">
        <f>IFERROR(__xludf.DUMMYFUNCTION("IMPORTRANGE(""https://docs.google.com/spreadsheets/d/1b2lul54I9-5u3ezeokOV5YBImAWXrqMYLSuPw_3-hIw/edit?usp=drive_web&amp;ouid=100730119819154221963"",""3775!Z2"")"),0.0)</f>
        <v>0</v>
      </c>
      <c r="N89" s="45"/>
      <c r="O89" s="41">
        <f t="shared" si="3"/>
        <v>20</v>
      </c>
      <c r="P89" s="44" t="s">
        <v>47</v>
      </c>
      <c r="Q89" s="104"/>
      <c r="R89" s="108"/>
      <c r="S89" s="108">
        <v>20.0</v>
      </c>
      <c r="T89" s="104"/>
      <c r="U89" s="47">
        <f t="shared" si="4"/>
        <v>101</v>
      </c>
      <c r="V89" s="104"/>
      <c r="W89" s="104"/>
      <c r="X89" s="96">
        <v>101.0</v>
      </c>
      <c r="Y89" s="106"/>
      <c r="Z89" s="98"/>
    </row>
    <row r="90">
      <c r="A90" s="40"/>
      <c r="B90" s="53">
        <v>6603776.0</v>
      </c>
      <c r="C90" s="109" t="s">
        <v>215</v>
      </c>
      <c r="D90" s="43" t="s">
        <v>29</v>
      </c>
      <c r="E90" s="110" t="s">
        <v>216</v>
      </c>
      <c r="F90" s="33">
        <f>IFERROR(__xludf.DUMMYFUNCTION("IMPORTRANGE(""https://docs.google.com/spreadsheets/d/1ca8cMhzyOckHdNiYinDsEvnGp85K2P0HF-MddinrGXM/edit?gid=901536474#gid=901536474"",""3776!Z2"")"),16.0)</f>
        <v>16</v>
      </c>
      <c r="G90" s="33">
        <f>IFERROR(__xludf.DUMMYFUNCTION("IMPORTRANGE(""https://docs.google.com/spreadsheets/d/1ZPIx2zimbu-1zeGuxfxkhXNgqhfTssUS5s9k5cZf2wc/edit?gid=901536474#gid=901536474"",""3776!Z2"")"),28.0)</f>
        <v>28</v>
      </c>
      <c r="H90" s="33">
        <f>IFERROR(__xludf.DUMMYFUNCTION("IMPORTRANGE(""https://docs.google.com/spreadsheets/d/1XMcMRG5YO-goaR1U_4jER5WefHmr96--8gyjWBUNI6k/edit?gid=901536474#gid=901536474"",""3776!Z2"")"),15.0)</f>
        <v>15</v>
      </c>
      <c r="I90" s="33">
        <f>IFERROR(__xludf.DUMMYFUNCTION("IMPORTRANGE(""https://docs.google.com/spreadsheets/d/1MA0wBASwppm9FIO036lHI8xvhSVH0v5HYfXfVjKbcyQ/edit?usp=drive_web&amp;ouid=100730119819154221963"",""3776!Z2"")"),0.0)</f>
        <v>0</v>
      </c>
      <c r="J90" s="33">
        <f>IFERROR(__xludf.DUMMYFUNCTION("IMPORTRANGE(""https://docs.google.com/spreadsheets/d/1D2vfyqvZrSRB3H2syxflheuiQYzNPTpGgOdgFd9uWlk/edit?gid=901536474#gid=901536474"",""3776!Z2"")"),0.0)</f>
        <v>0</v>
      </c>
      <c r="K90" s="33">
        <f>IFERROR(__xludf.DUMMYFUNCTION("IMPORTRANGE(""https://docs.google.com/spreadsheets/d/12IEdVEBjKQJvqAAWPA8r9wBGS_rRrYVNO7dHXE_rk60/edit?gid=901536474#gid=901536474"",""3776!Z2"")"),0.0)</f>
        <v>0</v>
      </c>
      <c r="L90" s="33">
        <f>IFERROR(__xludf.DUMMYFUNCTION("IMPORTRANGE(""https://docs.google.com/spreadsheets/d/1LB7ejmtgeP477BH1-F2FJlKUu_JQOyifPAyaNOOGBD0/edit?gid=901536474#gid=901536474"",""3776!Z2"")"),0.0)</f>
        <v>0</v>
      </c>
      <c r="M90" s="33">
        <f>IFERROR(__xludf.DUMMYFUNCTION("IMPORTRANGE(""https://docs.google.com/spreadsheets/d/1b2lul54I9-5u3ezeokOV5YBImAWXrqMYLSuPw_3-hIw/edit?usp=drive_web&amp;ouid=100730119819154221963"",""3776!Z2"")"),0.0)</f>
        <v>0</v>
      </c>
      <c r="N90" s="45"/>
      <c r="O90" s="41">
        <f t="shared" si="3"/>
        <v>79</v>
      </c>
      <c r="P90" s="44" t="s">
        <v>118</v>
      </c>
      <c r="Q90" s="104"/>
      <c r="R90" s="108"/>
      <c r="S90" s="108">
        <v>20.0</v>
      </c>
      <c r="T90" s="104"/>
      <c r="U90" s="47">
        <f t="shared" si="4"/>
        <v>108</v>
      </c>
      <c r="V90" s="104"/>
      <c r="W90" s="104"/>
      <c r="X90" s="96">
        <v>108.0</v>
      </c>
      <c r="Y90" s="106"/>
      <c r="Z90" s="98"/>
    </row>
    <row r="91">
      <c r="A91" s="40"/>
      <c r="B91" s="53">
        <v>6603777.0</v>
      </c>
      <c r="C91" s="109" t="s">
        <v>217</v>
      </c>
      <c r="D91" s="43" t="s">
        <v>29</v>
      </c>
      <c r="E91" s="110" t="s">
        <v>218</v>
      </c>
      <c r="F91" s="33">
        <f>IFERROR(__xludf.DUMMYFUNCTION("IMPORTRANGE(""https://docs.google.com/spreadsheets/d/1ca8cMhzyOckHdNiYinDsEvnGp85K2P0HF-MddinrGXM/edit?gid=901536474#gid=901536474"",""3777!Z2"")"),16.0)</f>
        <v>16</v>
      </c>
      <c r="G91" s="33">
        <f>IFERROR(__xludf.DUMMYFUNCTION("IMPORTRANGE(""https://docs.google.com/spreadsheets/d/1ZPIx2zimbu-1zeGuxfxkhXNgqhfTssUS5s9k5cZf2wc/edit?gid=901536474#gid=901536474"",""3777!Z2"")"),24.0)</f>
        <v>24</v>
      </c>
      <c r="H91" s="33">
        <f>IFERROR(__xludf.DUMMYFUNCTION("IMPORTRANGE(""https://docs.google.com/spreadsheets/d/1XMcMRG5YO-goaR1U_4jER5WefHmr96--8gyjWBUNI6k/edit?gid=901536474#gid=901536474"",""3777!Z2"")"),34.0)</f>
        <v>34</v>
      </c>
      <c r="I91" s="33">
        <f>IFERROR(__xludf.DUMMYFUNCTION("IMPORTRANGE(""https://docs.google.com/spreadsheets/d/1MA0wBASwppm9FIO036lHI8xvhSVH0v5HYfXfVjKbcyQ/edit?usp=drive_web&amp;ouid=100730119819154221963"",""3777!Z2"")"),0.0)</f>
        <v>0</v>
      </c>
      <c r="J91" s="33">
        <f>IFERROR(__xludf.DUMMYFUNCTION("IMPORTRANGE(""https://docs.google.com/spreadsheets/d/1D2vfyqvZrSRB3H2syxflheuiQYzNPTpGgOdgFd9uWlk/edit?gid=901536474#gid=901536474"",""3777!Z2"")"),8.0)</f>
        <v>8</v>
      </c>
      <c r="K91" s="33">
        <f>IFERROR(__xludf.DUMMYFUNCTION("IMPORTRANGE(""https://docs.google.com/spreadsheets/d/12IEdVEBjKQJvqAAWPA8r9wBGS_rRrYVNO7dHXE_rk60/edit?gid=901536474#gid=901536474"",""3777!Z2"")"),2.0)</f>
        <v>2</v>
      </c>
      <c r="L91" s="33">
        <f>IFERROR(__xludf.DUMMYFUNCTION("IMPORTRANGE(""https://docs.google.com/spreadsheets/d/1LB7ejmtgeP477BH1-F2FJlKUu_JQOyifPAyaNOOGBD0/edit?gid=901536474#gid=901536474"",""3777!Z2"")"),0.0)</f>
        <v>0</v>
      </c>
      <c r="M91" s="33">
        <f>IFERROR(__xludf.DUMMYFUNCTION("IMPORTRANGE(""https://docs.google.com/spreadsheets/d/1b2lul54I9-5u3ezeokOV5YBImAWXrqMYLSuPw_3-hIw/edit?usp=drive_web&amp;ouid=100730119819154221963"",""3777!Z2"")"),1.0)</f>
        <v>1</v>
      </c>
      <c r="N91" s="102"/>
      <c r="O91" s="103">
        <f t="shared" si="3"/>
        <v>85</v>
      </c>
      <c r="P91" s="104"/>
      <c r="Q91" s="104"/>
      <c r="R91" s="105"/>
      <c r="S91" s="104"/>
      <c r="T91" s="104"/>
      <c r="U91" s="47">
        <f t="shared" si="4"/>
        <v>89</v>
      </c>
      <c r="V91" s="104"/>
      <c r="W91" s="104"/>
      <c r="X91" s="96">
        <v>89.0</v>
      </c>
      <c r="Y91" s="106"/>
      <c r="Z91" s="98"/>
    </row>
    <row r="92">
      <c r="A92" s="40"/>
      <c r="B92" s="53">
        <v>6603778.0</v>
      </c>
      <c r="C92" s="109" t="s">
        <v>219</v>
      </c>
      <c r="D92" s="43" t="s">
        <v>29</v>
      </c>
      <c r="E92" s="110" t="s">
        <v>220</v>
      </c>
      <c r="F92" s="33">
        <f>IFERROR(__xludf.DUMMYFUNCTION("IMPORTRANGE(""https://docs.google.com/spreadsheets/d/1ca8cMhzyOckHdNiYinDsEvnGp85K2P0HF-MddinrGXM/edit?gid=901536474#gid=901536474"",""3778!Z2"")"),8.0)</f>
        <v>8</v>
      </c>
      <c r="G92" s="33">
        <f>IFERROR(__xludf.DUMMYFUNCTION("IMPORTRANGE(""https://docs.google.com/spreadsheets/d/1ZPIx2zimbu-1zeGuxfxkhXNgqhfTssUS5s9k5cZf2wc/edit?gid=901536474#gid=901536474"",""3778!Z2"")"),40.0)</f>
        <v>40</v>
      </c>
      <c r="H92" s="33">
        <f>IFERROR(__xludf.DUMMYFUNCTION("IMPORTRANGE(""https://docs.google.com/spreadsheets/d/1XMcMRG5YO-goaR1U_4jER5WefHmr96--8gyjWBUNI6k/edit?gid=901536474#gid=901536474"",""3778!Z2"")"),12.0)</f>
        <v>12</v>
      </c>
      <c r="I92" s="33">
        <f>IFERROR(__xludf.DUMMYFUNCTION("IMPORTRANGE(""https://docs.google.com/spreadsheets/d/1MA0wBASwppm9FIO036lHI8xvhSVH0v5HYfXfVjKbcyQ/edit?usp=drive_web&amp;ouid=100730119819154221963"",""3778!Z2"")"),0.0)</f>
        <v>0</v>
      </c>
      <c r="J92" s="33">
        <f>IFERROR(__xludf.DUMMYFUNCTION("IMPORTRANGE(""https://docs.google.com/spreadsheets/d/1D2vfyqvZrSRB3H2syxflheuiQYzNPTpGgOdgFd9uWlk/edit?gid=901536474#gid=901536474"",""3778!Z2"")"),0.0)</f>
        <v>0</v>
      </c>
      <c r="K92" s="33">
        <f>IFERROR(__xludf.DUMMYFUNCTION("IMPORTRANGE(""https://docs.google.com/spreadsheets/d/12IEdVEBjKQJvqAAWPA8r9wBGS_rRrYVNO7dHXE_rk60/edit?gid=901536474#gid=901536474"",""3778!Z2"")"),0.0)</f>
        <v>0</v>
      </c>
      <c r="L92" s="33">
        <f>IFERROR(__xludf.DUMMYFUNCTION("IMPORTRANGE(""https://docs.google.com/spreadsheets/d/1LB7ejmtgeP477BH1-F2FJlKUu_JQOyifPAyaNOOGBD0/edit?gid=901536474#gid=901536474"",""3778!Z2"")"),0.0)</f>
        <v>0</v>
      </c>
      <c r="M92" s="33">
        <f>IFERROR(__xludf.DUMMYFUNCTION("IMPORTRANGE(""https://docs.google.com/spreadsheets/d/1b2lul54I9-5u3ezeokOV5YBImAWXrqMYLSuPw_3-hIw/edit?usp=drive_web&amp;ouid=100730119819154221963"",""3778!Z2"")"),0.0)</f>
        <v>0</v>
      </c>
      <c r="N92" s="45"/>
      <c r="O92" s="41">
        <f t="shared" si="3"/>
        <v>60</v>
      </c>
      <c r="P92" s="104"/>
      <c r="Q92" s="104"/>
      <c r="R92" s="105"/>
      <c r="S92" s="104"/>
      <c r="T92" s="104"/>
      <c r="U92" s="47">
        <f t="shared" si="4"/>
        <v>91</v>
      </c>
      <c r="V92" s="104"/>
      <c r="W92" s="104"/>
      <c r="X92" s="96">
        <v>91.0</v>
      </c>
      <c r="Y92" s="106"/>
      <c r="Z92" s="98"/>
    </row>
    <row r="93">
      <c r="A93" s="40"/>
      <c r="B93" s="53">
        <v>6603779.0</v>
      </c>
      <c r="C93" s="109" t="s">
        <v>221</v>
      </c>
      <c r="D93" s="43" t="s">
        <v>29</v>
      </c>
      <c r="E93" s="110" t="s">
        <v>222</v>
      </c>
      <c r="F93" s="33">
        <f>IFERROR(__xludf.DUMMYFUNCTION("IMPORTRANGE(""https://docs.google.com/spreadsheets/d/1ca8cMhzyOckHdNiYinDsEvnGp85K2P0HF-MddinrGXM/edit?gid=901536474#gid=901536474"",""3779!Z2"")"),8.0)</f>
        <v>8</v>
      </c>
      <c r="G93" s="33">
        <f>IFERROR(__xludf.DUMMYFUNCTION("IMPORTRANGE(""https://docs.google.com/spreadsheets/d/1ZPIx2zimbu-1zeGuxfxkhXNgqhfTssUS5s9k5cZf2wc/edit?gid=901536474#gid=901536474"",""3779!Z2"")"),36.0)</f>
        <v>36</v>
      </c>
      <c r="H93" s="33">
        <f>IFERROR(__xludf.DUMMYFUNCTION("IMPORTRANGE(""https://docs.google.com/spreadsheets/d/1XMcMRG5YO-goaR1U_4jER5WefHmr96--8gyjWBUNI6k/edit?gid=901536474#gid=901536474"",""3779!Z2"")"),16.0)</f>
        <v>16</v>
      </c>
      <c r="I93" s="33">
        <f>IFERROR(__xludf.DUMMYFUNCTION("IMPORTRANGE(""https://docs.google.com/spreadsheets/d/1MA0wBASwppm9FIO036lHI8xvhSVH0v5HYfXfVjKbcyQ/edit?usp=drive_web&amp;ouid=100730119819154221963"",""3779!Z2"")"),0.0)</f>
        <v>0</v>
      </c>
      <c r="J93" s="33">
        <f>IFERROR(__xludf.DUMMYFUNCTION("IMPORTRANGE(""https://docs.google.com/spreadsheets/d/1D2vfyqvZrSRB3H2syxflheuiQYzNPTpGgOdgFd9uWlk/edit?gid=901536474#gid=901536474"",""3779!Z2"")"),4.0)</f>
        <v>4</v>
      </c>
      <c r="K93" s="33">
        <f>IFERROR(__xludf.DUMMYFUNCTION("IMPORTRANGE(""https://docs.google.com/spreadsheets/d/12IEdVEBjKQJvqAAWPA8r9wBGS_rRrYVNO7dHXE_rk60/edit?gid=901536474#gid=901536474"",""3779!Z2"")"),0.0)</f>
        <v>0</v>
      </c>
      <c r="L93" s="33">
        <f>IFERROR(__xludf.DUMMYFUNCTION("IMPORTRANGE(""https://docs.google.com/spreadsheets/d/1LB7ejmtgeP477BH1-F2FJlKUu_JQOyifPAyaNOOGBD0/edit?gid=901536474#gid=901536474"",""3779!Z2"")"),0.0)</f>
        <v>0</v>
      </c>
      <c r="M93" s="33">
        <f>IFERROR(__xludf.DUMMYFUNCTION("IMPORTRANGE(""https://docs.google.com/spreadsheets/d/1b2lul54I9-5u3ezeokOV5YBImAWXrqMYLSuPw_3-hIw/edit?usp=drive_web&amp;ouid=100730119819154221963"",""3779!Z2"")"),1.0)</f>
        <v>1</v>
      </c>
      <c r="N93" s="45"/>
      <c r="O93" s="41">
        <f t="shared" si="3"/>
        <v>65</v>
      </c>
      <c r="P93" s="104"/>
      <c r="Q93" s="104"/>
      <c r="R93" s="105"/>
      <c r="S93" s="104"/>
      <c r="T93" s="104"/>
      <c r="U93" s="47">
        <f t="shared" si="4"/>
        <v>75</v>
      </c>
      <c r="V93" s="104"/>
      <c r="W93" s="104"/>
      <c r="X93" s="96">
        <v>75.0</v>
      </c>
      <c r="Y93" s="106"/>
      <c r="Z93" s="98"/>
    </row>
    <row r="94">
      <c r="A94" s="40"/>
      <c r="B94" s="53">
        <v>6603780.0</v>
      </c>
      <c r="C94" s="109" t="s">
        <v>223</v>
      </c>
      <c r="D94" s="43" t="s">
        <v>29</v>
      </c>
      <c r="E94" s="110" t="s">
        <v>224</v>
      </c>
      <c r="F94" s="33">
        <f>IFERROR(__xludf.DUMMYFUNCTION("IMPORTRANGE(""https://docs.google.com/spreadsheets/d/1ca8cMhzyOckHdNiYinDsEvnGp85K2P0HF-MddinrGXM/edit?gid=901536474#gid=901536474"",""3780!Z2"")"),0.0)</f>
        <v>0</v>
      </c>
      <c r="G94" s="33">
        <f>IFERROR(__xludf.DUMMYFUNCTION("IMPORTRANGE(""https://docs.google.com/spreadsheets/d/1ZPIx2zimbu-1zeGuxfxkhXNgqhfTssUS5s9k5cZf2wc/edit?gid=901536474#gid=901536474"",""3780!Z2"")"),24.0)</f>
        <v>24</v>
      </c>
      <c r="H94" s="33">
        <f>IFERROR(__xludf.DUMMYFUNCTION("IMPORTRANGE(""https://docs.google.com/spreadsheets/d/1XMcMRG5YO-goaR1U_4jER5WefHmr96--8gyjWBUNI6k/edit?gid=901536474#gid=901536474"",""3780!Z2"")"),73.0)</f>
        <v>73</v>
      </c>
      <c r="I94" s="33">
        <f>IFERROR(__xludf.DUMMYFUNCTION("IMPORTRANGE(""https://docs.google.com/spreadsheets/d/1MA0wBASwppm9FIO036lHI8xvhSVH0v5HYfXfVjKbcyQ/edit?usp=drive_web&amp;ouid=100730119819154221963"",""3780!Z2"")"),0.0)</f>
        <v>0</v>
      </c>
      <c r="J94" s="33">
        <f>IFERROR(__xludf.DUMMYFUNCTION("IMPORTRANGE(""https://docs.google.com/spreadsheets/d/1D2vfyqvZrSRB3H2syxflheuiQYzNPTpGgOdgFd9uWlk/edit?gid=901536474#gid=901536474"",""3780!Z2"")"),0.0)</f>
        <v>0</v>
      </c>
      <c r="K94" s="33">
        <f>IFERROR(__xludf.DUMMYFUNCTION("IMPORTRANGE(""https://docs.google.com/spreadsheets/d/12IEdVEBjKQJvqAAWPA8r9wBGS_rRrYVNO7dHXE_rk60/edit?gid=901536474#gid=901536474"",""3780!Z2"")"),0.0)</f>
        <v>0</v>
      </c>
      <c r="L94" s="33">
        <f>IFERROR(__xludf.DUMMYFUNCTION("IMPORTRANGE(""https://docs.google.com/spreadsheets/d/1LB7ejmtgeP477BH1-F2FJlKUu_JQOyifPAyaNOOGBD0/edit?gid=901536474#gid=901536474"",""3780!Z2"")"),0.0)</f>
        <v>0</v>
      </c>
      <c r="M94" s="33">
        <f>IFERROR(__xludf.DUMMYFUNCTION("IMPORTRANGE(""https://docs.google.com/spreadsheets/d/1b2lul54I9-5u3ezeokOV5YBImAWXrqMYLSuPw_3-hIw/edit?usp=drive_web&amp;ouid=100730119819154221963"",""3780!Z2"")"),0.0)</f>
        <v>0</v>
      </c>
      <c r="N94" s="102"/>
      <c r="O94" s="103">
        <f t="shared" si="3"/>
        <v>97</v>
      </c>
      <c r="P94" s="104"/>
      <c r="Q94" s="104"/>
      <c r="R94" s="105"/>
      <c r="S94" s="104"/>
      <c r="T94" s="104"/>
      <c r="U94" s="47">
        <f t="shared" si="4"/>
        <v>96</v>
      </c>
      <c r="V94" s="104"/>
      <c r="W94" s="104"/>
      <c r="X94" s="96">
        <v>96.0</v>
      </c>
      <c r="Y94" s="106"/>
      <c r="Z94" s="98"/>
    </row>
    <row r="95">
      <c r="A95" s="40"/>
      <c r="B95" s="53">
        <v>6603781.0</v>
      </c>
      <c r="C95" s="109" t="s">
        <v>225</v>
      </c>
      <c r="D95" s="43" t="s">
        <v>29</v>
      </c>
      <c r="E95" s="110" t="s">
        <v>226</v>
      </c>
      <c r="F95" s="33">
        <f>IFERROR(__xludf.DUMMYFUNCTION("IMPORTRANGE(""https://docs.google.com/spreadsheets/d/1ca8cMhzyOckHdNiYinDsEvnGp85K2P0HF-MddinrGXM/edit?gid=901536474#gid=901536474"",""3781!Z2"")"),0.0)</f>
        <v>0</v>
      </c>
      <c r="G95" s="33">
        <f>IFERROR(__xludf.DUMMYFUNCTION("IMPORTRANGE(""https://docs.google.com/spreadsheets/d/1ZPIx2zimbu-1zeGuxfxkhXNgqhfTssUS5s9k5cZf2wc/edit?gid=901536474#gid=901536474"",""3781!Z2"")"),32.0)</f>
        <v>32</v>
      </c>
      <c r="H95" s="33">
        <f>IFERROR(__xludf.DUMMYFUNCTION("IMPORTRANGE(""https://docs.google.com/spreadsheets/d/1XMcMRG5YO-goaR1U_4jER5WefHmr96--8gyjWBUNI6k/edit?gid=901536474#gid=901536474"",""3781!Z2"")"),30.0)</f>
        <v>30</v>
      </c>
      <c r="I95" s="33">
        <f>IFERROR(__xludf.DUMMYFUNCTION("IMPORTRANGE(""https://docs.google.com/spreadsheets/d/1MA0wBASwppm9FIO036lHI8xvhSVH0v5HYfXfVjKbcyQ/edit?usp=drive_web&amp;ouid=100730119819154221963"",""3781!Z2"")"),0.0)</f>
        <v>0</v>
      </c>
      <c r="J95" s="33">
        <f>IFERROR(__xludf.DUMMYFUNCTION("IMPORTRANGE(""https://docs.google.com/spreadsheets/d/1D2vfyqvZrSRB3H2syxflheuiQYzNPTpGgOdgFd9uWlk/edit?gid=901536474#gid=901536474"",""3781!Z2"")"),0.0)</f>
        <v>0</v>
      </c>
      <c r="K95" s="33">
        <f>IFERROR(__xludf.DUMMYFUNCTION("IMPORTRANGE(""https://docs.google.com/spreadsheets/d/12IEdVEBjKQJvqAAWPA8r9wBGS_rRrYVNO7dHXE_rk60/edit?gid=901536474#gid=901536474"",""3781!Z2"")"),0.0)</f>
        <v>0</v>
      </c>
      <c r="L95" s="33">
        <f>IFERROR(__xludf.DUMMYFUNCTION("IMPORTRANGE(""https://docs.google.com/spreadsheets/d/1LB7ejmtgeP477BH1-F2FJlKUu_JQOyifPAyaNOOGBD0/edit?gid=901536474#gid=901536474"",""3781!Z2"")"),0.0)</f>
        <v>0</v>
      </c>
      <c r="M95" s="33">
        <f>IFERROR(__xludf.DUMMYFUNCTION("IMPORTRANGE(""https://docs.google.com/spreadsheets/d/1b2lul54I9-5u3ezeokOV5YBImAWXrqMYLSuPw_3-hIw/edit?usp=drive_web&amp;ouid=100730119819154221963"",""3781!Z2"")"),0.0)</f>
        <v>0</v>
      </c>
      <c r="N95" s="45"/>
      <c r="O95" s="41">
        <f t="shared" si="3"/>
        <v>62</v>
      </c>
      <c r="P95" s="104"/>
      <c r="Q95" s="104"/>
      <c r="R95" s="105"/>
      <c r="S95" s="104"/>
      <c r="T95" s="104"/>
      <c r="U95" s="47">
        <f t="shared" si="4"/>
        <v>70</v>
      </c>
      <c r="V95" s="104"/>
      <c r="W95" s="104"/>
      <c r="X95" s="96">
        <v>70.0</v>
      </c>
      <c r="Y95" s="106"/>
      <c r="Z95" s="98"/>
    </row>
    <row r="96">
      <c r="A96" s="40"/>
      <c r="B96" s="53">
        <v>6603782.0</v>
      </c>
      <c r="C96" s="109" t="s">
        <v>227</v>
      </c>
      <c r="D96" s="43" t="s">
        <v>29</v>
      </c>
      <c r="E96" s="110" t="s">
        <v>228</v>
      </c>
      <c r="F96" s="33">
        <f>IFERROR(__xludf.DUMMYFUNCTION("IMPORTRANGE(""https://docs.google.com/spreadsheets/d/1ca8cMhzyOckHdNiYinDsEvnGp85K2P0HF-MddinrGXM/edit?gid=901536474#gid=901536474"",""3782!Z2"")"),8.0)</f>
        <v>8</v>
      </c>
      <c r="G96" s="33">
        <f>IFERROR(__xludf.DUMMYFUNCTION("IMPORTRANGE(""https://docs.google.com/spreadsheets/d/1ZPIx2zimbu-1zeGuxfxkhXNgqhfTssUS5s9k5cZf2wc/edit?gid=901536474#gid=901536474"",""3782!Z2"")"),32.0)</f>
        <v>32</v>
      </c>
      <c r="H96" s="33">
        <f>IFERROR(__xludf.DUMMYFUNCTION("IMPORTRANGE(""https://docs.google.com/spreadsheets/d/1XMcMRG5YO-goaR1U_4jER5WefHmr96--8gyjWBUNI6k/edit?gid=901536474#gid=901536474"",""3782!Z2"")"),27.0)</f>
        <v>27</v>
      </c>
      <c r="I96" s="33">
        <f>IFERROR(__xludf.DUMMYFUNCTION("IMPORTRANGE(""https://docs.google.com/spreadsheets/d/1MA0wBASwppm9FIO036lHI8xvhSVH0v5HYfXfVjKbcyQ/edit?usp=drive_web&amp;ouid=100730119819154221963"",""3782!Z2"")"),0.0)</f>
        <v>0</v>
      </c>
      <c r="J96" s="33">
        <f>IFERROR(__xludf.DUMMYFUNCTION("IMPORTRANGE(""https://docs.google.com/spreadsheets/d/1D2vfyqvZrSRB3H2syxflheuiQYzNPTpGgOdgFd9uWlk/edit?gid=901536474#gid=901536474"",""3782!Z2"")"),0.0)</f>
        <v>0</v>
      </c>
      <c r="K96" s="33">
        <f>IFERROR(__xludf.DUMMYFUNCTION("IMPORTRANGE(""https://docs.google.com/spreadsheets/d/12IEdVEBjKQJvqAAWPA8r9wBGS_rRrYVNO7dHXE_rk60/edit?gid=901536474#gid=901536474"",""3782!Z2"")"),0.0)</f>
        <v>0</v>
      </c>
      <c r="L96" s="33">
        <f>IFERROR(__xludf.DUMMYFUNCTION("IMPORTRANGE(""https://docs.google.com/spreadsheets/d/1LB7ejmtgeP477BH1-F2FJlKUu_JQOyifPAyaNOOGBD0/edit?gid=901536474#gid=901536474"",""3782!Z2"")"),0.0)</f>
        <v>0</v>
      </c>
      <c r="M96" s="33">
        <f>IFERROR(__xludf.DUMMYFUNCTION("IMPORTRANGE(""https://docs.google.com/spreadsheets/d/1b2lul54I9-5u3ezeokOV5YBImAWXrqMYLSuPw_3-hIw/edit?usp=drive_web&amp;ouid=100730119819154221963"",""3782!Z2"")"),0.0)</f>
        <v>0</v>
      </c>
      <c r="N96" s="102"/>
      <c r="O96" s="103">
        <f t="shared" si="3"/>
        <v>67</v>
      </c>
      <c r="P96" s="104"/>
      <c r="Q96" s="104"/>
      <c r="R96" s="105"/>
      <c r="S96" s="104"/>
      <c r="T96" s="104"/>
      <c r="U96" s="47">
        <f t="shared" si="4"/>
        <v>95</v>
      </c>
      <c r="V96" s="104"/>
      <c r="W96" s="104"/>
      <c r="X96" s="96">
        <v>95.0</v>
      </c>
      <c r="Y96" s="106"/>
      <c r="Z96" s="98"/>
    </row>
    <row r="97">
      <c r="A97" s="40"/>
      <c r="B97" s="53">
        <v>6603783.0</v>
      </c>
      <c r="C97" s="109" t="s">
        <v>229</v>
      </c>
      <c r="D97" s="43" t="s">
        <v>29</v>
      </c>
      <c r="E97" s="110" t="s">
        <v>230</v>
      </c>
      <c r="F97" s="33">
        <f>IFERROR(__xludf.DUMMYFUNCTION("IMPORTRANGE(""https://docs.google.com/spreadsheets/d/1ca8cMhzyOckHdNiYinDsEvnGp85K2P0HF-MddinrGXM/edit?gid=901536474#gid=901536474"",""3783!Z2"")"),0.0)</f>
        <v>0</v>
      </c>
      <c r="G97" s="33">
        <f>IFERROR(__xludf.DUMMYFUNCTION("IMPORTRANGE(""https://docs.google.com/spreadsheets/d/1ZPIx2zimbu-1zeGuxfxkhXNgqhfTssUS5s9k5cZf2wc/edit?gid=901536474#gid=901536474"",""3783!Z2"")"),12.0)</f>
        <v>12</v>
      </c>
      <c r="H97" s="33">
        <f>IFERROR(__xludf.DUMMYFUNCTION("IMPORTRANGE(""https://docs.google.com/spreadsheets/d/1XMcMRG5YO-goaR1U_4jER5WefHmr96--8gyjWBUNI6k/edit?gid=901536474#gid=901536474"",""3783!Z2"")"),12.0)</f>
        <v>12</v>
      </c>
      <c r="I97" s="33">
        <f>IFERROR(__xludf.DUMMYFUNCTION("IMPORTRANGE(""https://docs.google.com/spreadsheets/d/1MA0wBASwppm9FIO036lHI8xvhSVH0v5HYfXfVjKbcyQ/edit?usp=drive_web&amp;ouid=100730119819154221963"",""3783!Z2"")"),0.0)</f>
        <v>0</v>
      </c>
      <c r="J97" s="33">
        <f>IFERROR(__xludf.DUMMYFUNCTION("IMPORTRANGE(""https://docs.google.com/spreadsheets/d/1D2vfyqvZrSRB3H2syxflheuiQYzNPTpGgOdgFd9uWlk/edit?gid=901536474#gid=901536474"",""3783!Z2"")"),10.0)</f>
        <v>10</v>
      </c>
      <c r="K97" s="33">
        <f>IFERROR(__xludf.DUMMYFUNCTION("IMPORTRANGE(""https://docs.google.com/spreadsheets/d/12IEdVEBjKQJvqAAWPA8r9wBGS_rRrYVNO7dHXE_rk60/edit?gid=901536474#gid=901536474"",""3783!Z2"")"),0.0)</f>
        <v>0</v>
      </c>
      <c r="L97" s="33">
        <f>IFERROR(__xludf.DUMMYFUNCTION("IMPORTRANGE(""https://docs.google.com/spreadsheets/d/1LB7ejmtgeP477BH1-F2FJlKUu_JQOyifPAyaNOOGBD0/edit?gid=901536474#gid=901536474"",""3783!Z2"")"),0.0)</f>
        <v>0</v>
      </c>
      <c r="M97" s="33">
        <f>IFERROR(__xludf.DUMMYFUNCTION("IMPORTRANGE(""https://docs.google.com/spreadsheets/d/1b2lul54I9-5u3ezeokOV5YBImAWXrqMYLSuPw_3-hIw/edit?usp=drive_web&amp;ouid=100730119819154221963"",""3783!Z2"")"),0.0)</f>
        <v>0</v>
      </c>
      <c r="N97" s="45"/>
      <c r="O97" s="41">
        <f t="shared" si="3"/>
        <v>54</v>
      </c>
      <c r="P97" s="44" t="s">
        <v>196</v>
      </c>
      <c r="Q97" s="104"/>
      <c r="R97" s="108"/>
      <c r="S97" s="108">
        <v>20.0</v>
      </c>
      <c r="T97" s="104"/>
      <c r="U97" s="47">
        <f t="shared" si="4"/>
        <v>100</v>
      </c>
      <c r="V97" s="104"/>
      <c r="W97" s="104"/>
      <c r="X97" s="96">
        <v>100.0</v>
      </c>
      <c r="Y97" s="106"/>
      <c r="Z97" s="98"/>
    </row>
    <row r="98">
      <c r="A98" s="40"/>
      <c r="B98" s="53">
        <v>6603784.0</v>
      </c>
      <c r="C98" s="109" t="s">
        <v>231</v>
      </c>
      <c r="D98" s="43" t="s">
        <v>29</v>
      </c>
      <c r="E98" s="110" t="s">
        <v>232</v>
      </c>
      <c r="F98" s="33">
        <f>IFERROR(__xludf.DUMMYFUNCTION("IMPORTRANGE(""https://docs.google.com/spreadsheets/d/1ca8cMhzyOckHdNiYinDsEvnGp85K2P0HF-MddinrGXM/edit?gid=901536474#gid=901536474"",""3784!Z2"")"),0.0)</f>
        <v>0</v>
      </c>
      <c r="G98" s="33">
        <f>IFERROR(__xludf.DUMMYFUNCTION("IMPORTRANGE(""https://docs.google.com/spreadsheets/d/1ZPIx2zimbu-1zeGuxfxkhXNgqhfTssUS5s9k5cZf2wc/edit?gid=901536474#gid=901536474"",""3784!Z2"")"),32.0)</f>
        <v>32</v>
      </c>
      <c r="H98" s="33">
        <f>IFERROR(__xludf.DUMMYFUNCTION("IMPORTRANGE(""https://docs.google.com/spreadsheets/d/1XMcMRG5YO-goaR1U_4jER5WefHmr96--8gyjWBUNI6k/edit?gid=901536474#gid=901536474"",""3784!Z2"")"),21.0)</f>
        <v>21</v>
      </c>
      <c r="I98" s="33">
        <f>IFERROR(__xludf.DUMMYFUNCTION("IMPORTRANGE(""https://docs.google.com/spreadsheets/d/1MA0wBASwppm9FIO036lHI8xvhSVH0v5HYfXfVjKbcyQ/edit?usp=drive_web&amp;ouid=100730119819154221963"",""3784!Z2"")"),0.0)</f>
        <v>0</v>
      </c>
      <c r="J98" s="33">
        <f>IFERROR(__xludf.DUMMYFUNCTION("IMPORTRANGE(""https://docs.google.com/spreadsheets/d/1D2vfyqvZrSRB3H2syxflheuiQYzNPTpGgOdgFd9uWlk/edit?gid=901536474#gid=901536474"",""3784!Z2"")"),0.0)</f>
        <v>0</v>
      </c>
      <c r="K98" s="33">
        <f>IFERROR(__xludf.DUMMYFUNCTION("IMPORTRANGE(""https://docs.google.com/spreadsheets/d/12IEdVEBjKQJvqAAWPA8r9wBGS_rRrYVNO7dHXE_rk60/edit?gid=901536474#gid=901536474"",""3784!Z2"")"),0.0)</f>
        <v>0</v>
      </c>
      <c r="L98" s="33">
        <f>IFERROR(__xludf.DUMMYFUNCTION("IMPORTRANGE(""https://docs.google.com/spreadsheets/d/1LB7ejmtgeP477BH1-F2FJlKUu_JQOyifPAyaNOOGBD0/edit?gid=901536474#gid=901536474"",""3784!Z2"")"),0.0)</f>
        <v>0</v>
      </c>
      <c r="M98" s="33">
        <f>IFERROR(__xludf.DUMMYFUNCTION("IMPORTRANGE(""https://docs.google.com/spreadsheets/d/1b2lul54I9-5u3ezeokOV5YBImAWXrqMYLSuPw_3-hIw/edit?usp=drive_web&amp;ouid=100730119819154221963"",""3784!Z2"")"),0.0)</f>
        <v>0</v>
      </c>
      <c r="N98" s="45"/>
      <c r="O98" s="41">
        <f t="shared" si="3"/>
        <v>53</v>
      </c>
      <c r="P98" s="104"/>
      <c r="Q98" s="104"/>
      <c r="R98" s="105"/>
      <c r="S98" s="104"/>
      <c r="T98" s="104"/>
      <c r="U98" s="47">
        <f t="shared" si="4"/>
        <v>78</v>
      </c>
      <c r="V98" s="104"/>
      <c r="W98" s="104"/>
      <c r="X98" s="96">
        <v>78.0</v>
      </c>
      <c r="Y98" s="106"/>
      <c r="Z98" s="98"/>
    </row>
    <row r="99">
      <c r="A99" s="40"/>
      <c r="B99" s="53">
        <v>6603785.0</v>
      </c>
      <c r="C99" s="109" t="s">
        <v>233</v>
      </c>
      <c r="D99" s="43" t="s">
        <v>29</v>
      </c>
      <c r="E99" s="110" t="s">
        <v>234</v>
      </c>
      <c r="F99" s="33">
        <f>IFERROR(__xludf.DUMMYFUNCTION("IMPORTRANGE(""https://docs.google.com/spreadsheets/d/1ca8cMhzyOckHdNiYinDsEvnGp85K2P0HF-MddinrGXM/edit?gid=901536474#gid=901536474"",""3785!Z2"")"),0.0)</f>
        <v>0</v>
      </c>
      <c r="G99" s="33">
        <f>IFERROR(__xludf.DUMMYFUNCTION("IMPORTRANGE(""https://docs.google.com/spreadsheets/d/1ZPIx2zimbu-1zeGuxfxkhXNgqhfTssUS5s9k5cZf2wc/edit?gid=901536474#gid=901536474"",""3785!Z2"")"),56.0)</f>
        <v>56</v>
      </c>
      <c r="H99" s="33">
        <f>IFERROR(__xludf.DUMMYFUNCTION("IMPORTRANGE(""https://docs.google.com/spreadsheets/d/1XMcMRG5YO-goaR1U_4jER5WefHmr96--8gyjWBUNI6k/edit?gid=901536474#gid=901536474"",""3785!Z2"")"),18.0)</f>
        <v>18</v>
      </c>
      <c r="I99" s="33">
        <f>IFERROR(__xludf.DUMMYFUNCTION("IMPORTRANGE(""https://docs.google.com/spreadsheets/d/1MA0wBASwppm9FIO036lHI8xvhSVH0v5HYfXfVjKbcyQ/edit?usp=drive_web&amp;ouid=100730119819154221963"",""3785!Z2"")"),0.0)</f>
        <v>0</v>
      </c>
      <c r="J99" s="33">
        <f>IFERROR(__xludf.DUMMYFUNCTION("IMPORTRANGE(""https://docs.google.com/spreadsheets/d/1D2vfyqvZrSRB3H2syxflheuiQYzNPTpGgOdgFd9uWlk/edit?gid=901536474#gid=901536474"",""3785!Z2"")"),0.0)</f>
        <v>0</v>
      </c>
      <c r="K99" s="33">
        <f>IFERROR(__xludf.DUMMYFUNCTION("IMPORTRANGE(""https://docs.google.com/spreadsheets/d/12IEdVEBjKQJvqAAWPA8r9wBGS_rRrYVNO7dHXE_rk60/edit?gid=901536474#gid=901536474"",""3785!Z2"")"),0.0)</f>
        <v>0</v>
      </c>
      <c r="L99" s="33">
        <f>IFERROR(__xludf.DUMMYFUNCTION("IMPORTRANGE(""https://docs.google.com/spreadsheets/d/1LB7ejmtgeP477BH1-F2FJlKUu_JQOyifPAyaNOOGBD0/edit?gid=901536474#gid=901536474"",""3785!Z2"")"),0.0)</f>
        <v>0</v>
      </c>
      <c r="M99" s="33">
        <f>IFERROR(__xludf.DUMMYFUNCTION("IMPORTRANGE(""https://docs.google.com/spreadsheets/d/1b2lul54I9-5u3ezeokOV5YBImAWXrqMYLSuPw_3-hIw/edit?usp=drive_web&amp;ouid=100730119819154221963"",""3785!Z2"")"),0.0)</f>
        <v>0</v>
      </c>
      <c r="N99" s="45"/>
      <c r="O99" s="41">
        <f t="shared" si="3"/>
        <v>94</v>
      </c>
      <c r="P99" s="112" t="s">
        <v>118</v>
      </c>
      <c r="Q99" s="104"/>
      <c r="R99" s="108"/>
      <c r="S99" s="108">
        <v>20.0</v>
      </c>
      <c r="T99" s="104"/>
      <c r="U99" s="47">
        <f t="shared" si="4"/>
        <v>119</v>
      </c>
      <c r="V99" s="104"/>
      <c r="W99" s="104"/>
      <c r="X99" s="96">
        <v>119.0</v>
      </c>
      <c r="Y99" s="106"/>
      <c r="Z99" s="98"/>
    </row>
    <row r="100">
      <c r="A100" s="40"/>
      <c r="B100" s="53">
        <v>6603786.0</v>
      </c>
      <c r="C100" s="109" t="s">
        <v>235</v>
      </c>
      <c r="D100" s="43" t="s">
        <v>29</v>
      </c>
      <c r="E100" s="110" t="s">
        <v>236</v>
      </c>
      <c r="F100" s="33">
        <f>IFERROR(__xludf.DUMMYFUNCTION("IMPORTRANGE(""https://docs.google.com/spreadsheets/d/1ca8cMhzyOckHdNiYinDsEvnGp85K2P0HF-MddinrGXM/edit?gid=901536474#gid=901536474"",""3786!Z2"")"),0.0)</f>
        <v>0</v>
      </c>
      <c r="G100" s="33">
        <f>IFERROR(__xludf.DUMMYFUNCTION("IMPORTRANGE(""https://docs.google.com/spreadsheets/d/1ZPIx2zimbu-1zeGuxfxkhXNgqhfTssUS5s9k5cZf2wc/edit?gid=901536474#gid=901536474"",""3786!Z2"")"),48.0)</f>
        <v>48</v>
      </c>
      <c r="H100" s="33">
        <f>IFERROR(__xludf.DUMMYFUNCTION("IMPORTRANGE(""https://docs.google.com/spreadsheets/d/1XMcMRG5YO-goaR1U_4jER5WefHmr96--8gyjWBUNI6k/edit?gid=901536474#gid=901536474"",""3786!Z2"")"),26.0)</f>
        <v>26</v>
      </c>
      <c r="I100" s="33">
        <f>IFERROR(__xludf.DUMMYFUNCTION("IMPORTRANGE(""https://docs.google.com/spreadsheets/d/1MA0wBASwppm9FIO036lHI8xvhSVH0v5HYfXfVjKbcyQ/edit?usp=drive_web&amp;ouid=100730119819154221963"",""3786!Z2"")"),0.0)</f>
        <v>0</v>
      </c>
      <c r="J100" s="33">
        <f>IFERROR(__xludf.DUMMYFUNCTION("IMPORTRANGE(""https://docs.google.com/spreadsheets/d/1D2vfyqvZrSRB3H2syxflheuiQYzNPTpGgOdgFd9uWlk/edit?gid=901536474#gid=901536474"",""3786!Z2"")"),0.0)</f>
        <v>0</v>
      </c>
      <c r="K100" s="33">
        <f>IFERROR(__xludf.DUMMYFUNCTION("IMPORTRANGE(""https://docs.google.com/spreadsheets/d/12IEdVEBjKQJvqAAWPA8r9wBGS_rRrYVNO7dHXE_rk60/edit?gid=901536474#gid=901536474"",""3786!Z2"")"),0.0)</f>
        <v>0</v>
      </c>
      <c r="L100" s="33">
        <f>IFERROR(__xludf.DUMMYFUNCTION("IMPORTRANGE(""https://docs.google.com/spreadsheets/d/1LB7ejmtgeP477BH1-F2FJlKUu_JQOyifPAyaNOOGBD0/edit?gid=901536474#gid=901536474"",""3786!Z2"")"),0.0)</f>
        <v>0</v>
      </c>
      <c r="M100" s="33">
        <f>IFERROR(__xludf.DUMMYFUNCTION("IMPORTRANGE(""https://docs.google.com/spreadsheets/d/1b2lul54I9-5u3ezeokOV5YBImAWXrqMYLSuPw_3-hIw/edit?usp=drive_web&amp;ouid=100730119819154221963"",""3786!Z2"")"),1.0)</f>
        <v>1</v>
      </c>
      <c r="N100" s="102"/>
      <c r="O100" s="103">
        <f t="shared" si="3"/>
        <v>75</v>
      </c>
      <c r="P100" s="104"/>
      <c r="Q100" s="104"/>
      <c r="R100" s="105"/>
      <c r="S100" s="104"/>
      <c r="T100" s="104"/>
      <c r="U100" s="47">
        <f t="shared" si="4"/>
        <v>70</v>
      </c>
      <c r="V100" s="104"/>
      <c r="W100" s="104"/>
      <c r="X100" s="96">
        <v>70.0</v>
      </c>
      <c r="Y100" s="106"/>
      <c r="Z100" s="98"/>
    </row>
    <row r="101">
      <c r="A101" s="40"/>
      <c r="B101" s="53">
        <v>6603787.0</v>
      </c>
      <c r="C101" s="109" t="s">
        <v>237</v>
      </c>
      <c r="D101" s="43" t="s">
        <v>29</v>
      </c>
      <c r="E101" s="110" t="s">
        <v>238</v>
      </c>
      <c r="F101" s="33">
        <f>IFERROR(__xludf.DUMMYFUNCTION("IMPORTRANGE(""https://docs.google.com/spreadsheets/d/1ca8cMhzyOckHdNiYinDsEvnGp85K2P0HF-MddinrGXM/edit?gid=901536474#gid=901536474"",""3787!Z2"")"),0.0)</f>
        <v>0</v>
      </c>
      <c r="G101" s="33">
        <f>IFERROR(__xludf.DUMMYFUNCTION("IMPORTRANGE(""https://docs.google.com/spreadsheets/d/1ZPIx2zimbu-1zeGuxfxkhXNgqhfTssUS5s9k5cZf2wc/edit?gid=901536474#gid=901536474"",""3787!Z2"")"),34.0)</f>
        <v>34</v>
      </c>
      <c r="H101" s="33">
        <f>IFERROR(__xludf.DUMMYFUNCTION("IMPORTRANGE(""https://docs.google.com/spreadsheets/d/1XMcMRG5YO-goaR1U_4jER5WefHmr96--8gyjWBUNI6k/edit?gid=901536474#gid=901536474"",""3787!Z2"")"),36.0)</f>
        <v>36</v>
      </c>
      <c r="I101" s="33">
        <f>IFERROR(__xludf.DUMMYFUNCTION("IMPORTRANGE(""https://docs.google.com/spreadsheets/d/1MA0wBASwppm9FIO036lHI8xvhSVH0v5HYfXfVjKbcyQ/edit?usp=drive_web&amp;ouid=100730119819154221963"",""3787!Z2"")"),0.0)</f>
        <v>0</v>
      </c>
      <c r="J101" s="33">
        <f>IFERROR(__xludf.DUMMYFUNCTION("IMPORTRANGE(""https://docs.google.com/spreadsheets/d/1D2vfyqvZrSRB3H2syxflheuiQYzNPTpGgOdgFd9uWlk/edit?gid=901536474#gid=901536474"",""3787!Z2"")"),4.0)</f>
        <v>4</v>
      </c>
      <c r="K101" s="33">
        <f>IFERROR(__xludf.DUMMYFUNCTION("IMPORTRANGE(""https://docs.google.com/spreadsheets/d/12IEdVEBjKQJvqAAWPA8r9wBGS_rRrYVNO7dHXE_rk60/edit?gid=901536474#gid=901536474"",""3787!Z2"")"),0.0)</f>
        <v>0</v>
      </c>
      <c r="L101" s="33">
        <f>IFERROR(__xludf.DUMMYFUNCTION("IMPORTRANGE(""https://docs.google.com/spreadsheets/d/1LB7ejmtgeP477BH1-F2FJlKUu_JQOyifPAyaNOOGBD0/edit?gid=901536474#gid=901536474"",""3787!Z2"")"),0.0)</f>
        <v>0</v>
      </c>
      <c r="M101" s="33">
        <f>IFERROR(__xludf.DUMMYFUNCTION("IMPORTRANGE(""https://docs.google.com/spreadsheets/d/1b2lul54I9-5u3ezeokOV5YBImAWXrqMYLSuPw_3-hIw/edit?usp=drive_web&amp;ouid=100730119819154221963"",""3787!Z2"")"),0.0)</f>
        <v>0</v>
      </c>
      <c r="N101" s="45"/>
      <c r="O101" s="41">
        <f t="shared" si="3"/>
        <v>94</v>
      </c>
      <c r="P101" s="44" t="s">
        <v>42</v>
      </c>
      <c r="Q101" s="104"/>
      <c r="R101" s="108"/>
      <c r="S101" s="108">
        <v>20.0</v>
      </c>
      <c r="T101" s="104"/>
      <c r="U101" s="47">
        <f t="shared" si="4"/>
        <v>144</v>
      </c>
      <c r="V101" s="104"/>
      <c r="W101" s="104"/>
      <c r="X101" s="96">
        <v>144.0</v>
      </c>
      <c r="Y101" s="106"/>
      <c r="Z101" s="98"/>
    </row>
    <row r="102">
      <c r="A102" s="40"/>
      <c r="B102" s="53">
        <v>6603788.0</v>
      </c>
      <c r="C102" s="109" t="s">
        <v>239</v>
      </c>
      <c r="D102" s="43" t="s">
        <v>29</v>
      </c>
      <c r="E102" s="110" t="s">
        <v>240</v>
      </c>
      <c r="F102" s="33">
        <f>IFERROR(__xludf.DUMMYFUNCTION("IMPORTRANGE(""https://docs.google.com/spreadsheets/d/1ca8cMhzyOckHdNiYinDsEvnGp85K2P0HF-MddinrGXM/edit?gid=901536474#gid=901536474"",""3788!Z2"")"),0.0)</f>
        <v>0</v>
      </c>
      <c r="G102" s="33">
        <f>IFERROR(__xludf.DUMMYFUNCTION("IMPORTRANGE(""https://docs.google.com/spreadsheets/d/1ZPIx2zimbu-1zeGuxfxkhXNgqhfTssUS5s9k5cZf2wc/edit?gid=901536474#gid=901536474"",""3788!Z2"")"),16.0)</f>
        <v>16</v>
      </c>
      <c r="H102" s="33">
        <f>IFERROR(__xludf.DUMMYFUNCTION("IMPORTRANGE(""https://docs.google.com/spreadsheets/d/1XMcMRG5YO-goaR1U_4jER5WefHmr96--8gyjWBUNI6k/edit?gid=901536474#gid=901536474"",""3788!Z2"")"),105.0)</f>
        <v>105</v>
      </c>
      <c r="I102" s="33">
        <f>IFERROR(__xludf.DUMMYFUNCTION("IMPORTRANGE(""https://docs.google.com/spreadsheets/d/1MA0wBASwppm9FIO036lHI8xvhSVH0v5HYfXfVjKbcyQ/edit?usp=drive_web&amp;ouid=100730119819154221963"",""3788!Z2"")"),0.0)</f>
        <v>0</v>
      </c>
      <c r="J102" s="33">
        <f>IFERROR(__xludf.DUMMYFUNCTION("IMPORTRANGE(""https://docs.google.com/spreadsheets/d/1D2vfyqvZrSRB3H2syxflheuiQYzNPTpGgOdgFd9uWlk/edit?gid=901536474#gid=901536474"",""3788!Z2"")"),0.0)</f>
        <v>0</v>
      </c>
      <c r="K102" s="33">
        <f>IFERROR(__xludf.DUMMYFUNCTION("IMPORTRANGE(""https://docs.google.com/spreadsheets/d/12IEdVEBjKQJvqAAWPA8r9wBGS_rRrYVNO7dHXE_rk60/edit?gid=901536474#gid=901536474"",""3788!Z2"")"),0.0)</f>
        <v>0</v>
      </c>
      <c r="L102" s="33">
        <f>IFERROR(__xludf.DUMMYFUNCTION("IMPORTRANGE(""https://docs.google.com/spreadsheets/d/1LB7ejmtgeP477BH1-F2FJlKUu_JQOyifPAyaNOOGBD0/edit?gid=901536474#gid=901536474"",""3788!Z2"")"),0.0)</f>
        <v>0</v>
      </c>
      <c r="M102" s="33">
        <f>IFERROR(__xludf.DUMMYFUNCTION("IMPORTRANGE(""https://docs.google.com/spreadsheets/d/1b2lul54I9-5u3ezeokOV5YBImAWXrqMYLSuPw_3-hIw/edit?usp=drive_web&amp;ouid=100730119819154221963"",""3788!Z2"")"),0.0)</f>
        <v>0</v>
      </c>
      <c r="N102" s="102"/>
      <c r="O102" s="103">
        <f t="shared" si="3"/>
        <v>121</v>
      </c>
      <c r="P102" s="104"/>
      <c r="Q102" s="104"/>
      <c r="R102" s="105"/>
      <c r="S102" s="104"/>
      <c r="T102" s="104"/>
      <c r="U102" s="47">
        <f t="shared" si="4"/>
        <v>97</v>
      </c>
      <c r="V102" s="104"/>
      <c r="W102" s="104"/>
      <c r="X102" s="96">
        <v>97.0</v>
      </c>
      <c r="Y102" s="106"/>
      <c r="Z102" s="98"/>
    </row>
    <row r="103">
      <c r="A103" s="40"/>
      <c r="B103" s="53">
        <v>6603789.0</v>
      </c>
      <c r="C103" s="109" t="s">
        <v>241</v>
      </c>
      <c r="D103" s="43" t="s">
        <v>29</v>
      </c>
      <c r="E103" s="110" t="s">
        <v>242</v>
      </c>
      <c r="F103" s="33">
        <f>IFERROR(__xludf.DUMMYFUNCTION("IMPORTRANGE(""https://docs.google.com/spreadsheets/d/1ca8cMhzyOckHdNiYinDsEvnGp85K2P0HF-MddinrGXM/edit?gid=901536474#gid=901536474"",""3789!Z2"")"),8.0)</f>
        <v>8</v>
      </c>
      <c r="G103" s="33">
        <f>IFERROR(__xludf.DUMMYFUNCTION("IMPORTRANGE(""https://docs.google.com/spreadsheets/d/1ZPIx2zimbu-1zeGuxfxkhXNgqhfTssUS5s9k5cZf2wc/edit?gid=901536474#gid=901536474"",""3789!Z2"")"),72.0)</f>
        <v>72</v>
      </c>
      <c r="H103" s="33">
        <f>IFERROR(__xludf.DUMMYFUNCTION("IMPORTRANGE(""https://docs.google.com/spreadsheets/d/1XMcMRG5YO-goaR1U_4jER5WefHmr96--8gyjWBUNI6k/edit?gid=901536474#gid=901536474"",""3789!Z2"")"),22.0)</f>
        <v>22</v>
      </c>
      <c r="I103" s="33">
        <f>IFERROR(__xludf.DUMMYFUNCTION("IMPORTRANGE(""https://docs.google.com/spreadsheets/d/1MA0wBASwppm9FIO036lHI8xvhSVH0v5HYfXfVjKbcyQ/edit?usp=drive_web&amp;ouid=100730119819154221963"",""3789!Z2"")"),0.0)</f>
        <v>0</v>
      </c>
      <c r="J103" s="33">
        <f>IFERROR(__xludf.DUMMYFUNCTION("IMPORTRANGE(""https://docs.google.com/spreadsheets/d/1D2vfyqvZrSRB3H2syxflheuiQYzNPTpGgOdgFd9uWlk/edit?gid=901536474#gid=901536474"",""3789!Z2"")"),0.0)</f>
        <v>0</v>
      </c>
      <c r="K103" s="33">
        <f>IFERROR(__xludf.DUMMYFUNCTION("IMPORTRANGE(""https://docs.google.com/spreadsheets/d/12IEdVEBjKQJvqAAWPA8r9wBGS_rRrYVNO7dHXE_rk60/edit?gid=901536474#gid=901536474"",""3789!Z2"")"),0.0)</f>
        <v>0</v>
      </c>
      <c r="L103" s="33">
        <f>IFERROR(__xludf.DUMMYFUNCTION("IMPORTRANGE(""https://docs.google.com/spreadsheets/d/1LB7ejmtgeP477BH1-F2FJlKUu_JQOyifPAyaNOOGBD0/edit?gid=901536474#gid=901536474"",""3789!Z2"")"),0.0)</f>
        <v>0</v>
      </c>
      <c r="M103" s="33">
        <f>IFERROR(__xludf.DUMMYFUNCTION("IMPORTRANGE(""https://docs.google.com/spreadsheets/d/1b2lul54I9-5u3ezeokOV5YBImAWXrqMYLSuPw_3-hIw/edit?usp=drive_web&amp;ouid=100730119819154221963"",""3789!Z2"")"),0.0)</f>
        <v>0</v>
      </c>
      <c r="N103" s="102"/>
      <c r="O103" s="103">
        <f t="shared" si="3"/>
        <v>102</v>
      </c>
      <c r="P103" s="104"/>
      <c r="Q103" s="104"/>
      <c r="R103" s="105"/>
      <c r="S103" s="104"/>
      <c r="T103" s="104"/>
      <c r="U103" s="47">
        <f t="shared" si="4"/>
        <v>88</v>
      </c>
      <c r="V103" s="104"/>
      <c r="W103" s="104"/>
      <c r="X103" s="96">
        <v>88.0</v>
      </c>
      <c r="Y103" s="106"/>
      <c r="Z103" s="98"/>
    </row>
    <row r="104">
      <c r="A104" s="40"/>
      <c r="B104" s="53">
        <v>6603790.0</v>
      </c>
      <c r="C104" s="109" t="s">
        <v>243</v>
      </c>
      <c r="D104" s="43" t="s">
        <v>29</v>
      </c>
      <c r="E104" s="110" t="s">
        <v>244</v>
      </c>
      <c r="F104" s="33">
        <f>IFERROR(__xludf.DUMMYFUNCTION("IMPORTRANGE(""https://docs.google.com/spreadsheets/d/1ca8cMhzyOckHdNiYinDsEvnGp85K2P0HF-MddinrGXM/edit?gid=901536474#gid=901536474"",""3790!Z2"")"),0.0)</f>
        <v>0</v>
      </c>
      <c r="G104" s="33">
        <f>IFERROR(__xludf.DUMMYFUNCTION("IMPORTRANGE(""https://docs.google.com/spreadsheets/d/1ZPIx2zimbu-1zeGuxfxkhXNgqhfTssUS5s9k5cZf2wc/edit?gid=901536474#gid=901536474"",""3790!Z2"")"),56.0)</f>
        <v>56</v>
      </c>
      <c r="H104" s="33">
        <f>IFERROR(__xludf.DUMMYFUNCTION("IMPORTRANGE(""https://docs.google.com/spreadsheets/d/1XMcMRG5YO-goaR1U_4jER5WefHmr96--8gyjWBUNI6k/edit?gid=901536474#gid=901536474"",""3790!Z2"")"),25.0)</f>
        <v>25</v>
      </c>
      <c r="I104" s="33">
        <f>IFERROR(__xludf.DUMMYFUNCTION("IMPORTRANGE(""https://docs.google.com/spreadsheets/d/1MA0wBASwppm9FIO036lHI8xvhSVH0v5HYfXfVjKbcyQ/edit?usp=drive_web&amp;ouid=100730119819154221963"",""3790!Z2"")"),6.0)</f>
        <v>6</v>
      </c>
      <c r="J104" s="33">
        <f>IFERROR(__xludf.DUMMYFUNCTION("IMPORTRANGE(""https://docs.google.com/spreadsheets/d/1D2vfyqvZrSRB3H2syxflheuiQYzNPTpGgOdgFd9uWlk/edit?gid=901536474#gid=901536474"",""3790!Z2"")"),0.0)</f>
        <v>0</v>
      </c>
      <c r="K104" s="33">
        <f>IFERROR(__xludf.DUMMYFUNCTION("IMPORTRANGE(""https://docs.google.com/spreadsheets/d/12IEdVEBjKQJvqAAWPA8r9wBGS_rRrYVNO7dHXE_rk60/edit?gid=901536474#gid=901536474"",""3790!Z2"")"),0.0)</f>
        <v>0</v>
      </c>
      <c r="L104" s="33">
        <f>IFERROR(__xludf.DUMMYFUNCTION("IMPORTRANGE(""https://docs.google.com/spreadsheets/d/1LB7ejmtgeP477BH1-F2FJlKUu_JQOyifPAyaNOOGBD0/edit?gid=901536474#gid=901536474"",""3790!Z2"")"),0.0)</f>
        <v>0</v>
      </c>
      <c r="M104" s="33">
        <f>IFERROR(__xludf.DUMMYFUNCTION("IMPORTRANGE(""https://docs.google.com/spreadsheets/d/1b2lul54I9-5u3ezeokOV5YBImAWXrqMYLSuPw_3-hIw/edit?usp=drive_web&amp;ouid=100730119819154221963"",""3790!Z2"")"),0.0)</f>
        <v>0</v>
      </c>
      <c r="N104" s="102"/>
      <c r="O104" s="103">
        <f t="shared" si="3"/>
        <v>87</v>
      </c>
      <c r="P104" s="104"/>
      <c r="Q104" s="104"/>
      <c r="R104" s="105"/>
      <c r="S104" s="104"/>
      <c r="T104" s="104"/>
      <c r="U104" s="47">
        <f t="shared" si="4"/>
        <v>81</v>
      </c>
      <c r="V104" s="104"/>
      <c r="W104" s="104"/>
      <c r="X104" s="96">
        <v>81.0</v>
      </c>
      <c r="Y104" s="106"/>
      <c r="Z104" s="98"/>
    </row>
    <row r="105">
      <c r="A105" s="40"/>
      <c r="B105" s="53">
        <v>6603791.0</v>
      </c>
      <c r="C105" s="109" t="s">
        <v>245</v>
      </c>
      <c r="D105" s="43" t="s">
        <v>29</v>
      </c>
      <c r="E105" s="110" t="s">
        <v>246</v>
      </c>
      <c r="F105" s="33">
        <f>IFERROR(__xludf.DUMMYFUNCTION("IMPORTRANGE(""https://docs.google.com/spreadsheets/d/1ca8cMhzyOckHdNiYinDsEvnGp85K2P0HF-MddinrGXM/edit?gid=901536474#gid=901536474"",""3791!Z2"")"),8.0)</f>
        <v>8</v>
      </c>
      <c r="G105" s="33">
        <f>IFERROR(__xludf.DUMMYFUNCTION("IMPORTRANGE(""https://docs.google.com/spreadsheets/d/1ZPIx2zimbu-1zeGuxfxkhXNgqhfTssUS5s9k5cZf2wc/edit?gid=901536474#gid=901536474"",""3791!Z2"")"),24.0)</f>
        <v>24</v>
      </c>
      <c r="H105" s="33">
        <f>IFERROR(__xludf.DUMMYFUNCTION("IMPORTRANGE(""https://docs.google.com/spreadsheets/d/1XMcMRG5YO-goaR1U_4jER5WefHmr96--8gyjWBUNI6k/edit?gid=901536474#gid=901536474"",""3791!Z2"")"),9.0)</f>
        <v>9</v>
      </c>
      <c r="I105" s="33">
        <f>IFERROR(__xludf.DUMMYFUNCTION("IMPORTRANGE(""https://docs.google.com/spreadsheets/d/1MA0wBASwppm9FIO036lHI8xvhSVH0v5HYfXfVjKbcyQ/edit?usp=drive_web&amp;ouid=100730119819154221963"",""3791!Z2"")"),0.0)</f>
        <v>0</v>
      </c>
      <c r="J105" s="33">
        <f>IFERROR(__xludf.DUMMYFUNCTION("IMPORTRANGE(""https://docs.google.com/spreadsheets/d/1D2vfyqvZrSRB3H2syxflheuiQYzNPTpGgOdgFd9uWlk/edit?gid=901536474#gid=901536474"",""3791!Z2"")"),0.0)</f>
        <v>0</v>
      </c>
      <c r="K105" s="33">
        <f>IFERROR(__xludf.DUMMYFUNCTION("IMPORTRANGE(""https://docs.google.com/spreadsheets/d/12IEdVEBjKQJvqAAWPA8r9wBGS_rRrYVNO7dHXE_rk60/edit?gid=901536474#gid=901536474"",""3791!Z2"")"),6.0)</f>
        <v>6</v>
      </c>
      <c r="L105" s="33">
        <f>IFERROR(__xludf.DUMMYFUNCTION("IMPORTRANGE(""https://docs.google.com/spreadsheets/d/1LB7ejmtgeP477BH1-F2FJlKUu_JQOyifPAyaNOOGBD0/edit?gid=901536474#gid=901536474"",""3791!Z2"")"),2.0)</f>
        <v>2</v>
      </c>
      <c r="M105" s="33">
        <f>IFERROR(__xludf.DUMMYFUNCTION("IMPORTRANGE(""https://docs.google.com/spreadsheets/d/1b2lul54I9-5u3ezeokOV5YBImAWXrqMYLSuPw_3-hIw/edit?usp=drive_web&amp;ouid=100730119819154221963"",""3791!Z2"")"),4.0)</f>
        <v>4</v>
      </c>
      <c r="N105" s="45"/>
      <c r="O105" s="41">
        <f t="shared" si="3"/>
        <v>53</v>
      </c>
      <c r="P105" s="104"/>
      <c r="Q105" s="104"/>
      <c r="R105" s="105"/>
      <c r="S105" s="104"/>
      <c r="T105" s="104"/>
      <c r="U105" s="47">
        <f t="shared" si="4"/>
        <v>70</v>
      </c>
      <c r="V105" s="104"/>
      <c r="W105" s="104"/>
      <c r="X105" s="96">
        <v>70.0</v>
      </c>
      <c r="Y105" s="106"/>
      <c r="Z105" s="98"/>
    </row>
    <row r="106">
      <c r="A106" s="40"/>
      <c r="B106" s="53">
        <v>6603792.0</v>
      </c>
      <c r="C106" s="109" t="s">
        <v>247</v>
      </c>
      <c r="D106" s="43" t="s">
        <v>29</v>
      </c>
      <c r="E106" s="110" t="s">
        <v>248</v>
      </c>
      <c r="F106" s="33">
        <f>IFERROR(__xludf.DUMMYFUNCTION("IMPORTRANGE(""https://docs.google.com/spreadsheets/d/1ca8cMhzyOckHdNiYinDsEvnGp85K2P0HF-MddinrGXM/edit?gid=901536474#gid=901536474"",""3792!Z2"")"),8.0)</f>
        <v>8</v>
      </c>
      <c r="G106" s="33">
        <f>IFERROR(__xludf.DUMMYFUNCTION("IMPORTRANGE(""https://docs.google.com/spreadsheets/d/1ZPIx2zimbu-1zeGuxfxkhXNgqhfTssUS5s9k5cZf2wc/edit?gid=901536474#gid=901536474"",""3792!Z2"")"),20.0)</f>
        <v>20</v>
      </c>
      <c r="H106" s="33">
        <f>IFERROR(__xludf.DUMMYFUNCTION("IMPORTRANGE(""https://docs.google.com/spreadsheets/d/1XMcMRG5YO-goaR1U_4jER5WefHmr96--8gyjWBUNI6k/edit?gid=901536474#gid=901536474"",""3792!Z2"")"),34.0)</f>
        <v>34</v>
      </c>
      <c r="I106" s="33">
        <f>IFERROR(__xludf.DUMMYFUNCTION("IMPORTRANGE(""https://docs.google.com/spreadsheets/d/1MA0wBASwppm9FIO036lHI8xvhSVH0v5HYfXfVjKbcyQ/edit?usp=drive_web&amp;ouid=100730119819154221963"",""3792!Z2"")"),0.0)</f>
        <v>0</v>
      </c>
      <c r="J106" s="33">
        <f>IFERROR(__xludf.DUMMYFUNCTION("IMPORTRANGE(""https://docs.google.com/spreadsheets/d/1D2vfyqvZrSRB3H2syxflheuiQYzNPTpGgOdgFd9uWlk/edit?gid=901536474#gid=901536474"",""3792!Z2"")"),4.0)</f>
        <v>4</v>
      </c>
      <c r="K106" s="33">
        <f>IFERROR(__xludf.DUMMYFUNCTION("IMPORTRANGE(""https://docs.google.com/spreadsheets/d/12IEdVEBjKQJvqAAWPA8r9wBGS_rRrYVNO7dHXE_rk60/edit?gid=901536474#gid=901536474"",""3792!Z2"")"),0.0)</f>
        <v>0</v>
      </c>
      <c r="L106" s="33">
        <f>IFERROR(__xludf.DUMMYFUNCTION("IMPORTRANGE(""https://docs.google.com/spreadsheets/d/1LB7ejmtgeP477BH1-F2FJlKUu_JQOyifPAyaNOOGBD0/edit?gid=901536474#gid=901536474"",""3792!Z2"")"),0.0)</f>
        <v>0</v>
      </c>
      <c r="M106" s="33">
        <f>IFERROR(__xludf.DUMMYFUNCTION("IMPORTRANGE(""https://docs.google.com/spreadsheets/d/1b2lul54I9-5u3ezeokOV5YBImAWXrqMYLSuPw_3-hIw/edit?usp=drive_web&amp;ouid=100730119819154221963"",""3792!Z2"")"),0.0)</f>
        <v>0</v>
      </c>
      <c r="N106" s="102"/>
      <c r="O106" s="103">
        <f t="shared" si="3"/>
        <v>66</v>
      </c>
      <c r="P106" s="104"/>
      <c r="Q106" s="104"/>
      <c r="R106" s="105"/>
      <c r="S106" s="104"/>
      <c r="T106" s="104"/>
      <c r="U106" s="47">
        <f t="shared" si="4"/>
        <v>72</v>
      </c>
      <c r="V106" s="104"/>
      <c r="W106" s="104"/>
      <c r="X106" s="96">
        <v>72.0</v>
      </c>
      <c r="Y106" s="106"/>
      <c r="Z106" s="98"/>
    </row>
    <row r="107">
      <c r="A107" s="40"/>
      <c r="B107" s="53">
        <v>6603793.0</v>
      </c>
      <c r="C107" s="109" t="s">
        <v>249</v>
      </c>
      <c r="D107" s="43" t="s">
        <v>29</v>
      </c>
      <c r="E107" s="110" t="s">
        <v>250</v>
      </c>
      <c r="F107" s="33">
        <f>IFERROR(__xludf.DUMMYFUNCTION("IMPORTRANGE(""https://docs.google.com/spreadsheets/d/1ca8cMhzyOckHdNiYinDsEvnGp85K2P0HF-MddinrGXM/edit?gid=901536474#gid=901536474"",""3793!Z2"")"),0.0)</f>
        <v>0</v>
      </c>
      <c r="G107" s="33">
        <f>IFERROR(__xludf.DUMMYFUNCTION("IMPORTRANGE(""https://docs.google.com/spreadsheets/d/1ZPIx2zimbu-1zeGuxfxkhXNgqhfTssUS5s9k5cZf2wc/edit?gid=901536474#gid=901536474"",""3793!Z2"")"),0.0)</f>
        <v>0</v>
      </c>
      <c r="H107" s="33">
        <f>IFERROR(__xludf.DUMMYFUNCTION("IMPORTRANGE(""https://docs.google.com/spreadsheets/d/1XMcMRG5YO-goaR1U_4jER5WefHmr96--8gyjWBUNI6k/edit?gid=901536474#gid=901536474"",""3793!Z2"")"),62.0)</f>
        <v>62</v>
      </c>
      <c r="I107" s="33">
        <f>IFERROR(__xludf.DUMMYFUNCTION("IMPORTRANGE(""https://docs.google.com/spreadsheets/d/1MA0wBASwppm9FIO036lHI8xvhSVH0v5HYfXfVjKbcyQ/edit?usp=drive_web&amp;ouid=100730119819154221963"",""3793!Z2"")"),0.0)</f>
        <v>0</v>
      </c>
      <c r="J107" s="33">
        <f>IFERROR(__xludf.DUMMYFUNCTION("IMPORTRANGE(""https://docs.google.com/spreadsheets/d/1D2vfyqvZrSRB3H2syxflheuiQYzNPTpGgOdgFd9uWlk/edit?gid=901536474#gid=901536474"",""3793!Z2"")"),0.0)</f>
        <v>0</v>
      </c>
      <c r="K107" s="33">
        <f>IFERROR(__xludf.DUMMYFUNCTION("IMPORTRANGE(""https://docs.google.com/spreadsheets/d/12IEdVEBjKQJvqAAWPA8r9wBGS_rRrYVNO7dHXE_rk60/edit?gid=901536474#gid=901536474"",""3793!Z2"")"),0.0)</f>
        <v>0</v>
      </c>
      <c r="L107" s="33">
        <f>IFERROR(__xludf.DUMMYFUNCTION("IMPORTRANGE(""https://docs.google.com/spreadsheets/d/1LB7ejmtgeP477BH1-F2FJlKUu_JQOyifPAyaNOOGBD0/edit?gid=901536474#gid=901536474"",""3793!Z2"")"),0.0)</f>
        <v>0</v>
      </c>
      <c r="M107" s="33">
        <f>IFERROR(__xludf.DUMMYFUNCTION("IMPORTRANGE(""https://docs.google.com/spreadsheets/d/1b2lul54I9-5u3ezeokOV5YBImAWXrqMYLSuPw_3-hIw/edit?usp=drive_web&amp;ouid=100730119819154221963"",""3793!Z2"")"),4.0)</f>
        <v>4</v>
      </c>
      <c r="N107" s="102"/>
      <c r="O107" s="103">
        <f t="shared" si="3"/>
        <v>66</v>
      </c>
      <c r="P107" s="104"/>
      <c r="Q107" s="104"/>
      <c r="R107" s="105"/>
      <c r="S107" s="104"/>
      <c r="T107" s="104"/>
      <c r="U107" s="47">
        <f t="shared" si="4"/>
        <v>91</v>
      </c>
      <c r="V107" s="104"/>
      <c r="W107" s="104"/>
      <c r="X107" s="96">
        <v>91.0</v>
      </c>
      <c r="Y107" s="106"/>
      <c r="Z107" s="98"/>
    </row>
    <row r="108">
      <c r="A108" s="40"/>
      <c r="B108" s="53">
        <v>6603794.0</v>
      </c>
      <c r="C108" s="109" t="s">
        <v>251</v>
      </c>
      <c r="D108" s="43" t="s">
        <v>29</v>
      </c>
      <c r="E108" s="110" t="s">
        <v>252</v>
      </c>
      <c r="F108" s="33">
        <f>IFERROR(__xludf.DUMMYFUNCTION("IMPORTRANGE(""https://docs.google.com/spreadsheets/d/1ca8cMhzyOckHdNiYinDsEvnGp85K2P0HF-MddinrGXM/edit?gid=901536474#gid=901536474"",""3794!Z2"")"),8.0)</f>
        <v>8</v>
      </c>
      <c r="G108" s="33">
        <f>IFERROR(__xludf.DUMMYFUNCTION("IMPORTRANGE(""https://docs.google.com/spreadsheets/d/1ZPIx2zimbu-1zeGuxfxkhXNgqhfTssUS5s9k5cZf2wc/edit?gid=901536474#gid=901536474"",""3794!Z2"")"),36.0)</f>
        <v>36</v>
      </c>
      <c r="H108" s="33">
        <f>IFERROR(__xludf.DUMMYFUNCTION("IMPORTRANGE(""https://docs.google.com/spreadsheets/d/1XMcMRG5YO-goaR1U_4jER5WefHmr96--8gyjWBUNI6k/edit?gid=901536474#gid=901536474"",""3794!Z2"")"),3.0)</f>
        <v>3</v>
      </c>
      <c r="I108" s="33">
        <f>IFERROR(__xludf.DUMMYFUNCTION("IMPORTRANGE(""https://docs.google.com/spreadsheets/d/1MA0wBASwppm9FIO036lHI8xvhSVH0v5HYfXfVjKbcyQ/edit?usp=drive_web&amp;ouid=100730119819154221963"",""3794!Z2"")"),0.0)</f>
        <v>0</v>
      </c>
      <c r="J108" s="33">
        <f>IFERROR(__xludf.DUMMYFUNCTION("IMPORTRANGE(""https://docs.google.com/spreadsheets/d/1D2vfyqvZrSRB3H2syxflheuiQYzNPTpGgOdgFd9uWlk/edit?gid=901536474#gid=901536474"",""3794!Z2"")"),0.0)</f>
        <v>0</v>
      </c>
      <c r="K108" s="33">
        <f>IFERROR(__xludf.DUMMYFUNCTION("IMPORTRANGE(""https://docs.google.com/spreadsheets/d/12IEdVEBjKQJvqAAWPA8r9wBGS_rRrYVNO7dHXE_rk60/edit?gid=901536474#gid=901536474"",""3794!Z2"")"),0.0)</f>
        <v>0</v>
      </c>
      <c r="L108" s="33">
        <f>IFERROR(__xludf.DUMMYFUNCTION("IMPORTRANGE(""https://docs.google.com/spreadsheets/d/1LB7ejmtgeP477BH1-F2FJlKUu_JQOyifPAyaNOOGBD0/edit?gid=901536474#gid=901536474"",""3794!Z2"")"),0.0)</f>
        <v>0</v>
      </c>
      <c r="M108" s="33">
        <f>IFERROR(__xludf.DUMMYFUNCTION("IMPORTRANGE(""https://docs.google.com/spreadsheets/d/1b2lul54I9-5u3ezeokOV5YBImAWXrqMYLSuPw_3-hIw/edit?usp=drive_web&amp;ouid=100730119819154221963"",""3794!Z2"")"),0.0)</f>
        <v>0</v>
      </c>
      <c r="N108" s="45"/>
      <c r="O108" s="41">
        <f t="shared" si="3"/>
        <v>67</v>
      </c>
      <c r="P108" s="44" t="s">
        <v>118</v>
      </c>
      <c r="Q108" s="104"/>
      <c r="R108" s="108"/>
      <c r="S108" s="108">
        <v>20.0</v>
      </c>
      <c r="T108" s="104"/>
      <c r="U108" s="47">
        <f t="shared" si="4"/>
        <v>107</v>
      </c>
      <c r="V108" s="104"/>
      <c r="W108" s="104"/>
      <c r="X108" s="96">
        <v>107.0</v>
      </c>
      <c r="Y108" s="106"/>
      <c r="Z108" s="98"/>
    </row>
    <row r="109">
      <c r="A109" s="40"/>
      <c r="B109" s="53">
        <v>6603795.0</v>
      </c>
      <c r="C109" s="109" t="s">
        <v>253</v>
      </c>
      <c r="D109" s="43" t="s">
        <v>29</v>
      </c>
      <c r="E109" s="110" t="s">
        <v>254</v>
      </c>
      <c r="F109" s="33">
        <f>IFERROR(__xludf.DUMMYFUNCTION("IMPORTRANGE(""https://docs.google.com/spreadsheets/d/1ca8cMhzyOckHdNiYinDsEvnGp85K2P0HF-MddinrGXM/edit?gid=901536474#gid=901536474"",""3795!Z2"")"),8.0)</f>
        <v>8</v>
      </c>
      <c r="G109" s="33">
        <f>IFERROR(__xludf.DUMMYFUNCTION("IMPORTRANGE(""https://docs.google.com/spreadsheets/d/1ZPIx2zimbu-1zeGuxfxkhXNgqhfTssUS5s9k5cZf2wc/edit?gid=901536474#gid=901536474"",""3795!Z2"")"),36.0)</f>
        <v>36</v>
      </c>
      <c r="H109" s="33">
        <f>IFERROR(__xludf.DUMMYFUNCTION("IMPORTRANGE(""https://docs.google.com/spreadsheets/d/1XMcMRG5YO-goaR1U_4jER5WefHmr96--8gyjWBUNI6k/edit?gid=901536474#gid=901536474"",""3795!Z2"")"),15.0)</f>
        <v>15</v>
      </c>
      <c r="I109" s="33">
        <f>IFERROR(__xludf.DUMMYFUNCTION("IMPORTRANGE(""https://docs.google.com/spreadsheets/d/1MA0wBASwppm9FIO036lHI8xvhSVH0v5HYfXfVjKbcyQ/edit?usp=drive_web&amp;ouid=100730119819154221963"",""3795!Z2"")"),0.0)</f>
        <v>0</v>
      </c>
      <c r="J109" s="33">
        <f>IFERROR(__xludf.DUMMYFUNCTION("IMPORTRANGE(""https://docs.google.com/spreadsheets/d/1D2vfyqvZrSRB3H2syxflheuiQYzNPTpGgOdgFd9uWlk/edit?gid=901536474#gid=901536474"",""3795!Z2"")"),0.0)</f>
        <v>0</v>
      </c>
      <c r="K109" s="33">
        <f>IFERROR(__xludf.DUMMYFUNCTION("IMPORTRANGE(""https://docs.google.com/spreadsheets/d/12IEdVEBjKQJvqAAWPA8r9wBGS_rRrYVNO7dHXE_rk60/edit?gid=901536474#gid=901536474"",""3795!Z2"")"),2.0)</f>
        <v>2</v>
      </c>
      <c r="L109" s="33">
        <f>IFERROR(__xludf.DUMMYFUNCTION("IMPORTRANGE(""https://docs.google.com/spreadsheets/d/1LB7ejmtgeP477BH1-F2FJlKUu_JQOyifPAyaNOOGBD0/edit?gid=901536474#gid=901536474"",""3795!Z2"")"),2.0)</f>
        <v>2</v>
      </c>
      <c r="M109" s="33">
        <f>IFERROR(__xludf.DUMMYFUNCTION("IMPORTRANGE(""https://docs.google.com/spreadsheets/d/1b2lul54I9-5u3ezeokOV5YBImAWXrqMYLSuPw_3-hIw/edit?usp=drive_web&amp;ouid=100730119819154221963"",""3795!Z2"")"),1.0)</f>
        <v>1</v>
      </c>
      <c r="N109" s="45"/>
      <c r="O109" s="41">
        <f t="shared" si="3"/>
        <v>64</v>
      </c>
      <c r="P109" s="104"/>
      <c r="Q109" s="104"/>
      <c r="R109" s="105"/>
      <c r="S109" s="104"/>
      <c r="T109" s="104"/>
      <c r="U109" s="47">
        <f t="shared" si="4"/>
        <v>87</v>
      </c>
      <c r="V109" s="104"/>
      <c r="W109" s="104"/>
      <c r="X109" s="96">
        <v>87.0</v>
      </c>
      <c r="Y109" s="106"/>
      <c r="Z109" s="98"/>
    </row>
    <row r="110">
      <c r="A110" s="40"/>
      <c r="B110" s="53">
        <v>6603796.0</v>
      </c>
      <c r="C110" s="109" t="s">
        <v>255</v>
      </c>
      <c r="D110" s="43" t="s">
        <v>29</v>
      </c>
      <c r="E110" s="110" t="s">
        <v>256</v>
      </c>
      <c r="F110" s="33">
        <f>IFERROR(__xludf.DUMMYFUNCTION("IMPORTRANGE(""https://docs.google.com/spreadsheets/d/1ca8cMhzyOckHdNiYinDsEvnGp85K2P0HF-MddinrGXM/edit?gid=901536474#gid=901536474"",""3796!Z2"")"),24.0)</f>
        <v>24</v>
      </c>
      <c r="G110" s="33">
        <f>IFERROR(__xludf.DUMMYFUNCTION("IMPORTRANGE(""https://docs.google.com/spreadsheets/d/1ZPIx2zimbu-1zeGuxfxkhXNgqhfTssUS5s9k5cZf2wc/edit?gid=901536474#gid=901536474"",""3796!Z2"")"),4.0)</f>
        <v>4</v>
      </c>
      <c r="H110" s="33">
        <f>IFERROR(__xludf.DUMMYFUNCTION("IMPORTRANGE(""https://docs.google.com/spreadsheets/d/1XMcMRG5YO-goaR1U_4jER5WefHmr96--8gyjWBUNI6k/edit?gid=901536474#gid=901536474"",""3796!Z2"")"),7.0)</f>
        <v>7</v>
      </c>
      <c r="I110" s="33">
        <f>IFERROR(__xludf.DUMMYFUNCTION("IMPORTRANGE(""https://docs.google.com/spreadsheets/d/1MA0wBASwppm9FIO036lHI8xvhSVH0v5HYfXfVjKbcyQ/edit?usp=drive_web&amp;ouid=100730119819154221963"",""3796!Z2"")"),0.0)</f>
        <v>0</v>
      </c>
      <c r="J110" s="33">
        <f>IFERROR(__xludf.DUMMYFUNCTION("IMPORTRANGE(""https://docs.google.com/spreadsheets/d/1D2vfyqvZrSRB3H2syxflheuiQYzNPTpGgOdgFd9uWlk/edit?gid=901536474#gid=901536474"",""3796!Z2"")"),4.0)</f>
        <v>4</v>
      </c>
      <c r="K110" s="33">
        <f>IFERROR(__xludf.DUMMYFUNCTION("IMPORTRANGE(""https://docs.google.com/spreadsheets/d/12IEdVEBjKQJvqAAWPA8r9wBGS_rRrYVNO7dHXE_rk60/edit?gid=901536474#gid=901536474"",""3796!Z2"")"),6.0)</f>
        <v>6</v>
      </c>
      <c r="L110" s="33">
        <f>IFERROR(__xludf.DUMMYFUNCTION("IMPORTRANGE(""https://docs.google.com/spreadsheets/d/1LB7ejmtgeP477BH1-F2FJlKUu_JQOyifPAyaNOOGBD0/edit?gid=901536474#gid=901536474"",""3796!Z2"")"),3.0)</f>
        <v>3</v>
      </c>
      <c r="M110" s="33">
        <f>IFERROR(__xludf.DUMMYFUNCTION("IMPORTRANGE(""https://docs.google.com/spreadsheets/d/1b2lul54I9-5u3ezeokOV5YBImAWXrqMYLSuPw_3-hIw/edit?usp=drive_web&amp;ouid=100730119819154221963"",""3796!Z2"")"),2.0)</f>
        <v>2</v>
      </c>
      <c r="N110" s="45"/>
      <c r="O110" s="41">
        <f t="shared" si="3"/>
        <v>50</v>
      </c>
      <c r="P110" s="104"/>
      <c r="Q110" s="104"/>
      <c r="R110" s="105"/>
      <c r="S110" s="104"/>
      <c r="T110" s="104"/>
      <c r="U110" s="47">
        <f t="shared" si="4"/>
        <v>72</v>
      </c>
      <c r="V110" s="104"/>
      <c r="W110" s="104"/>
      <c r="X110" s="96">
        <v>72.0</v>
      </c>
      <c r="Y110" s="106"/>
      <c r="Z110" s="98"/>
    </row>
    <row r="111">
      <c r="A111" s="40"/>
      <c r="B111" s="53">
        <v>6603797.0</v>
      </c>
      <c r="C111" s="109" t="s">
        <v>257</v>
      </c>
      <c r="D111" s="43" t="s">
        <v>29</v>
      </c>
      <c r="E111" s="110" t="s">
        <v>258</v>
      </c>
      <c r="F111" s="33">
        <f>IFERROR(__xludf.DUMMYFUNCTION("IMPORTRANGE(""https://docs.google.com/spreadsheets/d/1ca8cMhzyOckHdNiYinDsEvnGp85K2P0HF-MddinrGXM/edit?gid=901536474#gid=901536474"",""3797!Z2"")"),8.0)</f>
        <v>8</v>
      </c>
      <c r="G111" s="33">
        <f>IFERROR(__xludf.DUMMYFUNCTION("IMPORTRANGE(""https://docs.google.com/spreadsheets/d/1ZPIx2zimbu-1zeGuxfxkhXNgqhfTssUS5s9k5cZf2wc/edit?gid=901536474#gid=901536474"",""3797!Z2"")"),32.0)</f>
        <v>32</v>
      </c>
      <c r="H111" s="33">
        <f>IFERROR(__xludf.DUMMYFUNCTION("IMPORTRANGE(""https://docs.google.com/spreadsheets/d/1XMcMRG5YO-goaR1U_4jER5WefHmr96--8gyjWBUNI6k/edit?gid=901536474#gid=901536474"",""3797!Z2"")"),0.0)</f>
        <v>0</v>
      </c>
      <c r="I111" s="33">
        <f>IFERROR(__xludf.DUMMYFUNCTION("IMPORTRANGE(""https://docs.google.com/spreadsheets/d/1MA0wBASwppm9FIO036lHI8xvhSVH0v5HYfXfVjKbcyQ/edit?usp=drive_web&amp;ouid=100730119819154221963"",""3797!Z2"")"),0.0)</f>
        <v>0</v>
      </c>
      <c r="J111" s="33">
        <f>IFERROR(__xludf.DUMMYFUNCTION("IMPORTRANGE(""https://docs.google.com/spreadsheets/d/1D2vfyqvZrSRB3H2syxflheuiQYzNPTpGgOdgFd9uWlk/edit?gid=901536474#gid=901536474"",""3797!Z2"")"),0.0)</f>
        <v>0</v>
      </c>
      <c r="K111" s="33">
        <f>IFERROR(__xludf.DUMMYFUNCTION("IMPORTRANGE(""https://docs.google.com/spreadsheets/d/12IEdVEBjKQJvqAAWPA8r9wBGS_rRrYVNO7dHXE_rk60/edit?gid=901536474#gid=901536474"",""3797!Z2"")"),6.0)</f>
        <v>6</v>
      </c>
      <c r="L111" s="33">
        <f>IFERROR(__xludf.DUMMYFUNCTION("IMPORTRANGE(""https://docs.google.com/spreadsheets/d/1LB7ejmtgeP477BH1-F2FJlKUu_JQOyifPAyaNOOGBD0/edit?gid=901536474#gid=901536474"",""3797!Z2"")"),2.0)</f>
        <v>2</v>
      </c>
      <c r="M111" s="33">
        <f>IFERROR(__xludf.DUMMYFUNCTION("IMPORTRANGE(""https://docs.google.com/spreadsheets/d/1b2lul54I9-5u3ezeokOV5YBImAWXrqMYLSuPw_3-hIw/edit?usp=drive_web&amp;ouid=100730119819154221963"",""3797!Z2"")"),0.0)</f>
        <v>0</v>
      </c>
      <c r="N111" s="45"/>
      <c r="O111" s="41">
        <f t="shared" si="3"/>
        <v>48</v>
      </c>
      <c r="P111" s="104"/>
      <c r="Q111" s="104"/>
      <c r="R111" s="105"/>
      <c r="S111" s="104"/>
      <c r="T111" s="104"/>
      <c r="U111" s="47">
        <f t="shared" si="4"/>
        <v>81</v>
      </c>
      <c r="V111" s="104"/>
      <c r="W111" s="104"/>
      <c r="X111" s="96">
        <v>81.0</v>
      </c>
      <c r="Y111" s="106"/>
      <c r="Z111" s="98"/>
    </row>
    <row r="112">
      <c r="A112" s="40"/>
      <c r="B112" s="53">
        <v>6603798.0</v>
      </c>
      <c r="C112" s="109" t="s">
        <v>259</v>
      </c>
      <c r="D112" s="43" t="s">
        <v>29</v>
      </c>
      <c r="E112" s="110" t="s">
        <v>260</v>
      </c>
      <c r="F112" s="33">
        <f>IFERROR(__xludf.DUMMYFUNCTION("IMPORTRANGE(""https://docs.google.com/spreadsheets/d/1ca8cMhzyOckHdNiYinDsEvnGp85K2P0HF-MddinrGXM/edit?gid=901536474#gid=901536474"",""3798!Z2"")"),24.0)</f>
        <v>24</v>
      </c>
      <c r="G112" s="33">
        <f>IFERROR(__xludf.DUMMYFUNCTION("IMPORTRANGE(""https://docs.google.com/spreadsheets/d/1ZPIx2zimbu-1zeGuxfxkhXNgqhfTssUS5s9k5cZf2wc/edit?gid=901536474#gid=901536474"",""3798!Z2"")"),34.0)</f>
        <v>34</v>
      </c>
      <c r="H112" s="33">
        <f>IFERROR(__xludf.DUMMYFUNCTION("IMPORTRANGE(""https://docs.google.com/spreadsheets/d/1XMcMRG5YO-goaR1U_4jER5WefHmr96--8gyjWBUNI6k/edit?gid=901536474#gid=901536474"",""3798!Z2"")"),0.0)</f>
        <v>0</v>
      </c>
      <c r="I112" s="33">
        <f>IFERROR(__xludf.DUMMYFUNCTION("IMPORTRANGE(""https://docs.google.com/spreadsheets/d/1MA0wBASwppm9FIO036lHI8xvhSVH0v5HYfXfVjKbcyQ/edit?usp=drive_web&amp;ouid=100730119819154221963"",""3798!Z2"")"),0.0)</f>
        <v>0</v>
      </c>
      <c r="J112" s="33">
        <f>IFERROR(__xludf.DUMMYFUNCTION("IMPORTRANGE(""https://docs.google.com/spreadsheets/d/1D2vfyqvZrSRB3H2syxflheuiQYzNPTpGgOdgFd9uWlk/edit?gid=901536474#gid=901536474"",""3798!Z2"")"),0.0)</f>
        <v>0</v>
      </c>
      <c r="K112" s="33">
        <f>IFERROR(__xludf.DUMMYFUNCTION("IMPORTRANGE(""https://docs.google.com/spreadsheets/d/12IEdVEBjKQJvqAAWPA8r9wBGS_rRrYVNO7dHXE_rk60/edit?gid=901536474#gid=901536474"",""3798!Z2"")"),1.0)</f>
        <v>1</v>
      </c>
      <c r="L112" s="33">
        <f>IFERROR(__xludf.DUMMYFUNCTION("IMPORTRANGE(""https://docs.google.com/spreadsheets/d/1LB7ejmtgeP477BH1-F2FJlKUu_JQOyifPAyaNOOGBD0/edit?gid=901536474#gid=901536474"",""3798!Z2"")"),0.0)</f>
        <v>0</v>
      </c>
      <c r="M112" s="33">
        <f>IFERROR(__xludf.DUMMYFUNCTION("IMPORTRANGE(""https://docs.google.com/spreadsheets/d/1b2lul54I9-5u3ezeokOV5YBImAWXrqMYLSuPw_3-hIw/edit?usp=drive_web&amp;ouid=100730119819154221963"",""3798!Z2"")"),0.0)</f>
        <v>0</v>
      </c>
      <c r="N112" s="45"/>
      <c r="O112" s="41">
        <f t="shared" si="3"/>
        <v>59</v>
      </c>
      <c r="P112" s="104"/>
      <c r="Q112" s="104"/>
      <c r="R112" s="105"/>
      <c r="S112" s="104"/>
      <c r="T112" s="104"/>
      <c r="U112" s="47">
        <f t="shared" si="4"/>
        <v>80</v>
      </c>
      <c r="V112" s="104"/>
      <c r="W112" s="104"/>
      <c r="X112" s="96">
        <v>80.0</v>
      </c>
      <c r="Y112" s="106"/>
      <c r="Z112" s="98"/>
    </row>
    <row r="113">
      <c r="A113" s="40"/>
      <c r="B113" s="53">
        <v>6603799.0</v>
      </c>
      <c r="C113" s="109" t="s">
        <v>261</v>
      </c>
      <c r="D113" s="43" t="s">
        <v>29</v>
      </c>
      <c r="E113" s="110" t="s">
        <v>262</v>
      </c>
      <c r="F113" s="33">
        <f>IFERROR(__xludf.DUMMYFUNCTION("IMPORTRANGE(""https://docs.google.com/spreadsheets/d/1ca8cMhzyOckHdNiYinDsEvnGp85K2P0HF-MddinrGXM/edit?gid=901536474#gid=901536474"",""3799!Z2"")"),16.0)</f>
        <v>16</v>
      </c>
      <c r="G113" s="33">
        <f>IFERROR(__xludf.DUMMYFUNCTION("IMPORTRANGE(""https://docs.google.com/spreadsheets/d/1ZPIx2zimbu-1zeGuxfxkhXNgqhfTssUS5s9k5cZf2wc/edit?gid=901536474#gid=901536474"",""3799!Z2"")"),35.0)</f>
        <v>35</v>
      </c>
      <c r="H113" s="33">
        <f>IFERROR(__xludf.DUMMYFUNCTION("IMPORTRANGE(""https://docs.google.com/spreadsheets/d/1XMcMRG5YO-goaR1U_4jER5WefHmr96--8gyjWBUNI6k/edit?gid=901536474#gid=901536474"",""3799!Z2"")"),5.0)</f>
        <v>5</v>
      </c>
      <c r="I113" s="33">
        <f>IFERROR(__xludf.DUMMYFUNCTION("IMPORTRANGE(""https://docs.google.com/spreadsheets/d/1MA0wBASwppm9FIO036lHI8xvhSVH0v5HYfXfVjKbcyQ/edit?usp=drive_web&amp;ouid=100730119819154221963"",""3799!Z2"")"),0.0)</f>
        <v>0</v>
      </c>
      <c r="J113" s="33">
        <f>IFERROR(__xludf.DUMMYFUNCTION("IMPORTRANGE(""https://docs.google.com/spreadsheets/d/1D2vfyqvZrSRB3H2syxflheuiQYzNPTpGgOdgFd9uWlk/edit?gid=901536474#gid=901536474"",""3799!Z2"")"),0.0)</f>
        <v>0</v>
      </c>
      <c r="K113" s="33">
        <f>IFERROR(__xludf.DUMMYFUNCTION("IMPORTRANGE(""https://docs.google.com/spreadsheets/d/12IEdVEBjKQJvqAAWPA8r9wBGS_rRrYVNO7dHXE_rk60/edit?gid=901536474#gid=901536474"",""3799!Z2"")"),1.0)</f>
        <v>1</v>
      </c>
      <c r="L113" s="33">
        <f>IFERROR(__xludf.DUMMYFUNCTION("IMPORTRANGE(""https://docs.google.com/spreadsheets/d/1LB7ejmtgeP477BH1-F2FJlKUu_JQOyifPAyaNOOGBD0/edit?gid=901536474#gid=901536474"",""3799!Z2"")"),0.0)</f>
        <v>0</v>
      </c>
      <c r="M113" s="33">
        <f>IFERROR(__xludf.DUMMYFUNCTION("IMPORTRANGE(""https://docs.google.com/spreadsheets/d/1b2lul54I9-5u3ezeokOV5YBImAWXrqMYLSuPw_3-hIw/edit?usp=drive_web&amp;ouid=100730119819154221963"",""3799!Z2"")"),0.0)</f>
        <v>0</v>
      </c>
      <c r="N113" s="102"/>
      <c r="O113" s="103">
        <f t="shared" si="3"/>
        <v>57</v>
      </c>
      <c r="P113" s="104"/>
      <c r="Q113" s="104"/>
      <c r="R113" s="105"/>
      <c r="S113" s="104"/>
      <c r="T113" s="104"/>
      <c r="U113" s="47">
        <f t="shared" si="4"/>
        <v>92</v>
      </c>
      <c r="V113" s="104"/>
      <c r="W113" s="104"/>
      <c r="X113" s="96">
        <v>92.0</v>
      </c>
      <c r="Y113" s="106"/>
      <c r="Z113" s="98"/>
    </row>
    <row r="114">
      <c r="A114" s="40"/>
      <c r="B114" s="53">
        <v>6603800.0</v>
      </c>
      <c r="C114" s="109" t="s">
        <v>263</v>
      </c>
      <c r="D114" s="43" t="s">
        <v>29</v>
      </c>
      <c r="E114" s="110" t="s">
        <v>264</v>
      </c>
      <c r="F114" s="33">
        <f>IFERROR(__xludf.DUMMYFUNCTION("IMPORTRANGE(""https://docs.google.com/spreadsheets/d/1ca8cMhzyOckHdNiYinDsEvnGp85K2P0HF-MddinrGXM/edit?gid=901536474#gid=901536474"",""3800!Z2"")"),24.0)</f>
        <v>24</v>
      </c>
      <c r="G114" s="33">
        <f>IFERROR(__xludf.DUMMYFUNCTION("IMPORTRANGE(""https://docs.google.com/spreadsheets/d/1ZPIx2zimbu-1zeGuxfxkhXNgqhfTssUS5s9k5cZf2wc/edit?gid=901536474#gid=901536474"",""3800!Z2"")"),28.0)</f>
        <v>28</v>
      </c>
      <c r="H114" s="33">
        <f>IFERROR(__xludf.DUMMYFUNCTION("IMPORTRANGE(""https://docs.google.com/spreadsheets/d/1XMcMRG5YO-goaR1U_4jER5WefHmr96--8gyjWBUNI6k/edit?gid=901536474#gid=901536474"",""3800!Z2"")"),3.0)</f>
        <v>3</v>
      </c>
      <c r="I114" s="33">
        <f>IFERROR(__xludf.DUMMYFUNCTION("IMPORTRANGE(""https://docs.google.com/spreadsheets/d/1MA0wBASwppm9FIO036lHI8xvhSVH0v5HYfXfVjKbcyQ/edit?usp=drive_web&amp;ouid=100730119819154221963"",""3800!Z2"")"),0.0)</f>
        <v>0</v>
      </c>
      <c r="J114" s="33">
        <f>IFERROR(__xludf.DUMMYFUNCTION("IMPORTRANGE(""https://docs.google.com/spreadsheets/d/1D2vfyqvZrSRB3H2syxflheuiQYzNPTpGgOdgFd9uWlk/edit?gid=901536474#gid=901536474"",""3800!Z2"")"),0.0)</f>
        <v>0</v>
      </c>
      <c r="K114" s="33">
        <f>IFERROR(__xludf.DUMMYFUNCTION("IMPORTRANGE(""https://docs.google.com/spreadsheets/d/12IEdVEBjKQJvqAAWPA8r9wBGS_rRrYVNO7dHXE_rk60/edit?gid=901536474#gid=901536474"",""3800!Z2"")"),0.0)</f>
        <v>0</v>
      </c>
      <c r="L114" s="33">
        <f>IFERROR(__xludf.DUMMYFUNCTION("IMPORTRANGE(""https://docs.google.com/spreadsheets/d/1LB7ejmtgeP477BH1-F2FJlKUu_JQOyifPAyaNOOGBD0/edit?gid=901536474#gid=901536474"",""3800!Z2"")"),0.0)</f>
        <v>0</v>
      </c>
      <c r="M114" s="33">
        <f>IFERROR(__xludf.DUMMYFUNCTION("IMPORTRANGE(""https://docs.google.com/spreadsheets/d/1b2lul54I9-5u3ezeokOV5YBImAWXrqMYLSuPw_3-hIw/edit?usp=drive_web&amp;ouid=100730119819154221963"",""3800!Z2"")"),0.0)</f>
        <v>0</v>
      </c>
      <c r="N114" s="45"/>
      <c r="O114" s="41">
        <f t="shared" si="3"/>
        <v>55</v>
      </c>
      <c r="P114" s="104"/>
      <c r="Q114" s="104"/>
      <c r="R114" s="105"/>
      <c r="S114" s="104"/>
      <c r="T114" s="104"/>
      <c r="U114" s="47">
        <f t="shared" si="4"/>
        <v>77</v>
      </c>
      <c r="V114" s="104"/>
      <c r="W114" s="104"/>
      <c r="X114" s="96">
        <v>77.0</v>
      </c>
      <c r="Y114" s="106"/>
      <c r="Z114" s="98"/>
    </row>
    <row r="115">
      <c r="A115" s="40"/>
      <c r="B115" s="53">
        <v>6603801.0</v>
      </c>
      <c r="C115" s="109" t="s">
        <v>265</v>
      </c>
      <c r="D115" s="43" t="s">
        <v>29</v>
      </c>
      <c r="E115" s="110" t="s">
        <v>266</v>
      </c>
      <c r="F115" s="33">
        <f>IFERROR(__xludf.DUMMYFUNCTION("IMPORTRANGE(""https://docs.google.com/spreadsheets/d/1ca8cMhzyOckHdNiYinDsEvnGp85K2P0HF-MddinrGXM/edit?gid=901536474#gid=901536474"",""3801!Z2"")"),8.0)</f>
        <v>8</v>
      </c>
      <c r="G115" s="33">
        <f>IFERROR(__xludf.DUMMYFUNCTION("IMPORTRANGE(""https://docs.google.com/spreadsheets/d/1ZPIx2zimbu-1zeGuxfxkhXNgqhfTssUS5s9k5cZf2wc/edit?gid=901536474#gid=901536474"",""3801!Z2"")"),27.0)</f>
        <v>27</v>
      </c>
      <c r="H115" s="33">
        <f>IFERROR(__xludf.DUMMYFUNCTION("IMPORTRANGE(""https://docs.google.com/spreadsheets/d/1XMcMRG5YO-goaR1U_4jER5WefHmr96--8gyjWBUNI6k/edit?gid=901536474#gid=901536474"",""3801!Z2"")"),53.0)</f>
        <v>53</v>
      </c>
      <c r="I115" s="33">
        <f>IFERROR(__xludf.DUMMYFUNCTION("IMPORTRANGE(""https://docs.google.com/spreadsheets/d/1MA0wBASwppm9FIO036lHI8xvhSVH0v5HYfXfVjKbcyQ/edit?usp=drive_web&amp;ouid=100730119819154221963"",""3801!Z2"")"),0.0)</f>
        <v>0</v>
      </c>
      <c r="J115" s="33">
        <f>IFERROR(__xludf.DUMMYFUNCTION("IMPORTRANGE(""https://docs.google.com/spreadsheets/d/1D2vfyqvZrSRB3H2syxflheuiQYzNPTpGgOdgFd9uWlk/edit?gid=901536474#gid=901536474"",""3801!Z2"")"),0.0)</f>
        <v>0</v>
      </c>
      <c r="K115" s="33">
        <f>IFERROR(__xludf.DUMMYFUNCTION("IMPORTRANGE(""https://docs.google.com/spreadsheets/d/12IEdVEBjKQJvqAAWPA8r9wBGS_rRrYVNO7dHXE_rk60/edit?gid=901536474#gid=901536474"",""3801!Z2"")"),0.0)</f>
        <v>0</v>
      </c>
      <c r="L115" s="33">
        <f>IFERROR(__xludf.DUMMYFUNCTION("IMPORTRANGE(""https://docs.google.com/spreadsheets/d/1LB7ejmtgeP477BH1-F2FJlKUu_JQOyifPAyaNOOGBD0/edit?gid=901536474#gid=901536474"",""3801!Z2"")"),0.0)</f>
        <v>0</v>
      </c>
      <c r="M115" s="33">
        <f>IFERROR(__xludf.DUMMYFUNCTION("IMPORTRANGE(""https://docs.google.com/spreadsheets/d/1b2lul54I9-5u3ezeokOV5YBImAWXrqMYLSuPw_3-hIw/edit?usp=drive_web&amp;ouid=100730119819154221963"",""3801!Z2"")"),0.0)</f>
        <v>0</v>
      </c>
      <c r="N115" s="102"/>
      <c r="O115" s="103">
        <f t="shared" si="3"/>
        <v>88</v>
      </c>
      <c r="P115" s="104"/>
      <c r="Q115" s="104"/>
      <c r="R115" s="105"/>
      <c r="S115" s="104"/>
      <c r="T115" s="104"/>
      <c r="U115" s="47">
        <f t="shared" si="4"/>
        <v>80</v>
      </c>
      <c r="V115" s="104"/>
      <c r="W115" s="104"/>
      <c r="X115" s="96">
        <v>80.0</v>
      </c>
      <c r="Y115" s="106"/>
      <c r="Z115" s="98"/>
    </row>
    <row r="116">
      <c r="A116" s="40"/>
      <c r="B116" s="53">
        <v>6603802.0</v>
      </c>
      <c r="C116" s="109" t="s">
        <v>267</v>
      </c>
      <c r="D116" s="43" t="s">
        <v>29</v>
      </c>
      <c r="E116" s="110" t="s">
        <v>268</v>
      </c>
      <c r="F116" s="33">
        <f>IFERROR(__xludf.DUMMYFUNCTION("IMPORTRANGE(""https://docs.google.com/spreadsheets/d/1ca8cMhzyOckHdNiYinDsEvnGp85K2P0HF-MddinrGXM/edit?gid=901536474#gid=901536474"",""3802!Z2"")"),0.0)</f>
        <v>0</v>
      </c>
      <c r="G116" s="33">
        <f>IFERROR(__xludf.DUMMYFUNCTION("IMPORTRANGE(""https://docs.google.com/spreadsheets/d/1ZPIx2zimbu-1zeGuxfxkhXNgqhfTssUS5s9k5cZf2wc/edit?gid=901536474#gid=901536474"",""3802!Z2"")"),16.0)</f>
        <v>16</v>
      </c>
      <c r="H116" s="33">
        <f>IFERROR(__xludf.DUMMYFUNCTION("IMPORTRANGE(""https://docs.google.com/spreadsheets/d/1XMcMRG5YO-goaR1U_4jER5WefHmr96--8gyjWBUNI6k/edit?gid=901536474#gid=901536474"",""3802!Z2"")"),0.0)</f>
        <v>0</v>
      </c>
      <c r="I116" s="33">
        <f>IFERROR(__xludf.DUMMYFUNCTION("IMPORTRANGE(""https://docs.google.com/spreadsheets/d/1MA0wBASwppm9FIO036lHI8xvhSVH0v5HYfXfVjKbcyQ/edit?usp=drive_web&amp;ouid=100730119819154221963"",""3802!Z2"")"),2.0)</f>
        <v>2</v>
      </c>
      <c r="J116" s="33">
        <f>IFERROR(__xludf.DUMMYFUNCTION("IMPORTRANGE(""https://docs.google.com/spreadsheets/d/1D2vfyqvZrSRB3H2syxflheuiQYzNPTpGgOdgFd9uWlk/edit?gid=901536474#gid=901536474"",""3802!Z2"")"),0.0)</f>
        <v>0</v>
      </c>
      <c r="K116" s="33">
        <f>IFERROR(__xludf.DUMMYFUNCTION("IMPORTRANGE(""https://docs.google.com/spreadsheets/d/12IEdVEBjKQJvqAAWPA8r9wBGS_rRrYVNO7dHXE_rk60/edit?gid=901536474#gid=901536474"",""3802!Z2"")"),0.0)</f>
        <v>0</v>
      </c>
      <c r="L116" s="33">
        <f>IFERROR(__xludf.DUMMYFUNCTION("IMPORTRANGE(""https://docs.google.com/spreadsheets/d/1LB7ejmtgeP477BH1-F2FJlKUu_JQOyifPAyaNOOGBD0/edit?gid=901536474#gid=901536474"",""3802!Z2"")"),3.0)</f>
        <v>3</v>
      </c>
      <c r="M116" s="33">
        <f>IFERROR(__xludf.DUMMYFUNCTION("IMPORTRANGE(""https://docs.google.com/spreadsheets/d/1b2lul54I9-5u3ezeokOV5YBImAWXrqMYLSuPw_3-hIw/edit?usp=drive_web&amp;ouid=100730119819154221963"",""3802!Z2"")"),0.0)</f>
        <v>0</v>
      </c>
      <c r="N116" s="45"/>
      <c r="O116" s="41">
        <f t="shared" si="3"/>
        <v>41</v>
      </c>
      <c r="P116" s="44" t="s">
        <v>42</v>
      </c>
      <c r="Q116" s="104"/>
      <c r="R116" s="108"/>
      <c r="S116" s="108">
        <v>20.0</v>
      </c>
      <c r="T116" s="104"/>
      <c r="U116" s="47">
        <f t="shared" si="4"/>
        <v>76</v>
      </c>
      <c r="V116" s="104"/>
      <c r="W116" s="104"/>
      <c r="X116" s="96">
        <v>76.0</v>
      </c>
      <c r="Y116" s="106"/>
      <c r="Z116" s="98"/>
    </row>
    <row r="117">
      <c r="A117" s="40"/>
      <c r="B117" s="53">
        <v>6603803.0</v>
      </c>
      <c r="C117" s="109" t="s">
        <v>269</v>
      </c>
      <c r="D117" s="43" t="s">
        <v>29</v>
      </c>
      <c r="E117" s="110" t="s">
        <v>270</v>
      </c>
      <c r="F117" s="33">
        <f>IFERROR(__xludf.DUMMYFUNCTION("IMPORTRANGE(""https://docs.google.com/spreadsheets/d/1ca8cMhzyOckHdNiYinDsEvnGp85K2P0HF-MddinrGXM/edit?gid=901536474#gid=901536474"",""3803!Z2"")"),0.0)</f>
        <v>0</v>
      </c>
      <c r="G117" s="33">
        <f>IFERROR(__xludf.DUMMYFUNCTION("IMPORTRANGE(""https://docs.google.com/spreadsheets/d/1ZPIx2zimbu-1zeGuxfxkhXNgqhfTssUS5s9k5cZf2wc/edit?gid=901536474#gid=901536474"",""3803!Z2"")"),71.0)</f>
        <v>71</v>
      </c>
      <c r="H117" s="33">
        <f>IFERROR(__xludf.DUMMYFUNCTION("IMPORTRANGE(""https://docs.google.com/spreadsheets/d/1XMcMRG5YO-goaR1U_4jER5WefHmr96--8gyjWBUNI6k/edit?gid=901536474#gid=901536474"",""3803!Z2"")"),83.0)</f>
        <v>83</v>
      </c>
      <c r="I117" s="33">
        <f>IFERROR(__xludf.DUMMYFUNCTION("IMPORTRANGE(""https://docs.google.com/spreadsheets/d/1MA0wBASwppm9FIO036lHI8xvhSVH0v5HYfXfVjKbcyQ/edit?usp=drive_web&amp;ouid=100730119819154221963"",""3803!Z2"")"),0.0)</f>
        <v>0</v>
      </c>
      <c r="J117" s="33">
        <f>IFERROR(__xludf.DUMMYFUNCTION("IMPORTRANGE(""https://docs.google.com/spreadsheets/d/1D2vfyqvZrSRB3H2syxflheuiQYzNPTpGgOdgFd9uWlk/edit?gid=901536474#gid=901536474"",""3803!Z2"")"),15.0)</f>
        <v>15</v>
      </c>
      <c r="K117" s="33">
        <f>IFERROR(__xludf.DUMMYFUNCTION("IMPORTRANGE(""https://docs.google.com/spreadsheets/d/12IEdVEBjKQJvqAAWPA8r9wBGS_rRrYVNO7dHXE_rk60/edit?gid=901536474#gid=901536474"",""3803!Z2"")"),3.0)</f>
        <v>3</v>
      </c>
      <c r="L117" s="33">
        <f>IFERROR(__xludf.DUMMYFUNCTION("IMPORTRANGE(""https://docs.google.com/spreadsheets/d/1LB7ejmtgeP477BH1-F2FJlKUu_JQOyifPAyaNOOGBD0/edit?gid=901536474#gid=901536474"",""3803!Z2"")"),3.0)</f>
        <v>3</v>
      </c>
      <c r="M117" s="33">
        <f>IFERROR(__xludf.DUMMYFUNCTION("IMPORTRANGE(""https://docs.google.com/spreadsheets/d/1b2lul54I9-5u3ezeokOV5YBImAWXrqMYLSuPw_3-hIw/edit?usp=drive_web&amp;ouid=100730119819154221963"",""3803!Z2"")"),0.0)</f>
        <v>0</v>
      </c>
      <c r="N117" s="102"/>
      <c r="O117" s="103">
        <f t="shared" si="3"/>
        <v>175</v>
      </c>
      <c r="P117" s="104"/>
      <c r="Q117" s="104"/>
      <c r="R117" s="105"/>
      <c r="S117" s="104"/>
      <c r="T117" s="104"/>
      <c r="U117" s="47">
        <f t="shared" si="4"/>
        <v>96</v>
      </c>
      <c r="V117" s="104"/>
      <c r="W117" s="104"/>
      <c r="X117" s="96">
        <v>96.0</v>
      </c>
      <c r="Y117" s="106"/>
      <c r="Z117" s="98"/>
    </row>
    <row r="118">
      <c r="A118" s="40"/>
      <c r="B118" s="53">
        <v>6603804.0</v>
      </c>
      <c r="C118" s="109" t="s">
        <v>271</v>
      </c>
      <c r="D118" s="43" t="s">
        <v>29</v>
      </c>
      <c r="E118" s="110" t="s">
        <v>272</v>
      </c>
      <c r="F118" s="33">
        <f>IFERROR(__xludf.DUMMYFUNCTION("IMPORTRANGE(""https://docs.google.com/spreadsheets/d/1ca8cMhzyOckHdNiYinDsEvnGp85K2P0HF-MddinrGXM/edit?gid=901536474#gid=901536474"",""3804!Z2"")"),24.0)</f>
        <v>24</v>
      </c>
      <c r="G118" s="33">
        <f>IFERROR(__xludf.DUMMYFUNCTION("IMPORTRANGE(""https://docs.google.com/spreadsheets/d/1ZPIx2zimbu-1zeGuxfxkhXNgqhfTssUS5s9k5cZf2wc/edit?gid=901536474#gid=901536474"",""3804!Z2"")"),20.0)</f>
        <v>20</v>
      </c>
      <c r="H118" s="33">
        <f>IFERROR(__xludf.DUMMYFUNCTION("IMPORTRANGE(""https://docs.google.com/spreadsheets/d/1XMcMRG5YO-goaR1U_4jER5WefHmr96--8gyjWBUNI6k/edit?gid=901536474#gid=901536474"",""3804!Z2"")"),14.0)</f>
        <v>14</v>
      </c>
      <c r="I118" s="33">
        <f>IFERROR(__xludf.DUMMYFUNCTION("IMPORTRANGE(""https://docs.google.com/spreadsheets/d/1MA0wBASwppm9FIO036lHI8xvhSVH0v5HYfXfVjKbcyQ/edit?usp=drive_web&amp;ouid=100730119819154221963"",""3804!Z2"")"),0.0)</f>
        <v>0</v>
      </c>
      <c r="J118" s="33">
        <f>IFERROR(__xludf.DUMMYFUNCTION("IMPORTRANGE(""https://docs.google.com/spreadsheets/d/1D2vfyqvZrSRB3H2syxflheuiQYzNPTpGgOdgFd9uWlk/edit?gid=901536474#gid=901536474"",""3804!Z2"")"),0.0)</f>
        <v>0</v>
      </c>
      <c r="K118" s="33">
        <f>IFERROR(__xludf.DUMMYFUNCTION("IMPORTRANGE(""https://docs.google.com/spreadsheets/d/12IEdVEBjKQJvqAAWPA8r9wBGS_rRrYVNO7dHXE_rk60/edit?gid=901536474#gid=901536474"",""3804!Z2"")"),0.0)</f>
        <v>0</v>
      </c>
      <c r="L118" s="33">
        <f>IFERROR(__xludf.DUMMYFUNCTION("IMPORTRANGE(""https://docs.google.com/spreadsheets/d/1LB7ejmtgeP477BH1-F2FJlKUu_JQOyifPAyaNOOGBD0/edit?gid=901536474#gid=901536474"",""3804!Z2"")"),0.0)</f>
        <v>0</v>
      </c>
      <c r="M118" s="33">
        <f>IFERROR(__xludf.DUMMYFUNCTION("IMPORTRANGE(""https://docs.google.com/spreadsheets/d/1b2lul54I9-5u3ezeokOV5YBImAWXrqMYLSuPw_3-hIw/edit?usp=drive_web&amp;ouid=100730119819154221963"",""3804!Z2"")"),0.0)</f>
        <v>0</v>
      </c>
      <c r="N118" s="102"/>
      <c r="O118" s="103">
        <f t="shared" si="3"/>
        <v>58</v>
      </c>
      <c r="P118" s="104"/>
      <c r="Q118" s="104"/>
      <c r="R118" s="105"/>
      <c r="S118" s="104"/>
      <c r="T118" s="104"/>
      <c r="U118" s="47">
        <f t="shared" si="4"/>
        <v>77</v>
      </c>
      <c r="V118" s="104"/>
      <c r="W118" s="104"/>
      <c r="X118" s="96">
        <v>77.0</v>
      </c>
      <c r="Y118" s="106"/>
      <c r="Z118" s="98"/>
    </row>
    <row r="119">
      <c r="A119" s="40"/>
      <c r="B119" s="53">
        <v>6603805.0</v>
      </c>
      <c r="C119" s="109" t="s">
        <v>273</v>
      </c>
      <c r="D119" s="43" t="s">
        <v>29</v>
      </c>
      <c r="E119" s="110" t="s">
        <v>274</v>
      </c>
      <c r="F119" s="33">
        <f>IFERROR(__xludf.DUMMYFUNCTION("IMPORTRANGE(""https://docs.google.com/spreadsheets/d/1ca8cMhzyOckHdNiYinDsEvnGp85K2P0HF-MddinrGXM/edit?gid=901536474#gid=901536474"",""3805!Z2"")"),0.0)</f>
        <v>0</v>
      </c>
      <c r="G119" s="33">
        <f>IFERROR(__xludf.DUMMYFUNCTION("IMPORTRANGE(""https://docs.google.com/spreadsheets/d/1ZPIx2zimbu-1zeGuxfxkhXNgqhfTssUS5s9k5cZf2wc/edit?gid=901536474#gid=901536474"",""3805!Z2"")"),40.0)</f>
        <v>40</v>
      </c>
      <c r="H119" s="33">
        <f>IFERROR(__xludf.DUMMYFUNCTION("IMPORTRANGE(""https://docs.google.com/spreadsheets/d/1XMcMRG5YO-goaR1U_4jER5WefHmr96--8gyjWBUNI6k/edit?gid=901536474#gid=901536474"",""3805!Z2"")"),25.0)</f>
        <v>25</v>
      </c>
      <c r="I119" s="33">
        <f>IFERROR(__xludf.DUMMYFUNCTION("IMPORTRANGE(""https://docs.google.com/spreadsheets/d/1MA0wBASwppm9FIO036lHI8xvhSVH0v5HYfXfVjKbcyQ/edit?usp=drive_web&amp;ouid=100730119819154221963"",""3805!Z2"")"),0.0)</f>
        <v>0</v>
      </c>
      <c r="J119" s="33">
        <f>IFERROR(__xludf.DUMMYFUNCTION("IMPORTRANGE(""https://docs.google.com/spreadsheets/d/1D2vfyqvZrSRB3H2syxflheuiQYzNPTpGgOdgFd9uWlk/edit?gid=901536474#gid=901536474"",""3805!Z2"")"),0.0)</f>
        <v>0</v>
      </c>
      <c r="K119" s="33">
        <f>IFERROR(__xludf.DUMMYFUNCTION("IMPORTRANGE(""https://docs.google.com/spreadsheets/d/12IEdVEBjKQJvqAAWPA8r9wBGS_rRrYVNO7dHXE_rk60/edit?gid=901536474#gid=901536474"",""3805!Z2"")"),0.0)</f>
        <v>0</v>
      </c>
      <c r="L119" s="33">
        <f>IFERROR(__xludf.DUMMYFUNCTION("IMPORTRANGE(""https://docs.google.com/spreadsheets/d/1LB7ejmtgeP477BH1-F2FJlKUu_JQOyifPAyaNOOGBD0/edit?gid=901536474#gid=901536474"",""3805!Z2"")"),0.0)</f>
        <v>0</v>
      </c>
      <c r="M119" s="33">
        <f>IFERROR(__xludf.DUMMYFUNCTION("IMPORTRANGE(""https://docs.google.com/spreadsheets/d/1b2lul54I9-5u3ezeokOV5YBImAWXrqMYLSuPw_3-hIw/edit?usp=drive_web&amp;ouid=100730119819154221963"",""3805!Z2"")"),0.0)</f>
        <v>0</v>
      </c>
      <c r="N119" s="45"/>
      <c r="O119" s="41">
        <f t="shared" si="3"/>
        <v>65</v>
      </c>
      <c r="P119" s="104"/>
      <c r="Q119" s="104"/>
      <c r="R119" s="105"/>
      <c r="S119" s="104"/>
      <c r="T119" s="104"/>
      <c r="U119" s="47">
        <f t="shared" si="4"/>
        <v>80</v>
      </c>
      <c r="V119" s="104"/>
      <c r="W119" s="104"/>
      <c r="X119" s="96">
        <v>80.0</v>
      </c>
      <c r="Y119" s="106"/>
      <c r="Z119" s="98"/>
    </row>
    <row r="120">
      <c r="A120" s="40"/>
      <c r="B120" s="53">
        <v>6603806.0</v>
      </c>
      <c r="C120" s="109" t="s">
        <v>275</v>
      </c>
      <c r="D120" s="43" t="s">
        <v>29</v>
      </c>
      <c r="E120" s="110" t="s">
        <v>276</v>
      </c>
      <c r="F120" s="33">
        <f>IFERROR(__xludf.DUMMYFUNCTION("IMPORTRANGE(""https://docs.google.com/spreadsheets/d/1ca8cMhzyOckHdNiYinDsEvnGp85K2P0HF-MddinrGXM/edit?gid=901536474#gid=901536474"",""3806!Z2"")"),0.0)</f>
        <v>0</v>
      </c>
      <c r="G120" s="33">
        <f>IFERROR(__xludf.DUMMYFUNCTION("IMPORTRANGE(""https://docs.google.com/spreadsheets/d/1ZPIx2zimbu-1zeGuxfxkhXNgqhfTssUS5s9k5cZf2wc/edit?gid=901536474#gid=901536474"",""3806!Z2"")"),20.0)</f>
        <v>20</v>
      </c>
      <c r="H120" s="33">
        <f>IFERROR(__xludf.DUMMYFUNCTION("IMPORTRANGE(""https://docs.google.com/spreadsheets/d/1XMcMRG5YO-goaR1U_4jER5WefHmr96--8gyjWBUNI6k/edit?gid=901536474#gid=901536474"",""3806!Z2"")"),38.0)</f>
        <v>38</v>
      </c>
      <c r="I120" s="33">
        <f>IFERROR(__xludf.DUMMYFUNCTION("IMPORTRANGE(""https://docs.google.com/spreadsheets/d/1MA0wBASwppm9FIO036lHI8xvhSVH0v5HYfXfVjKbcyQ/edit?usp=drive_web&amp;ouid=100730119819154221963"",""3806!Z2"")"),0.0)</f>
        <v>0</v>
      </c>
      <c r="J120" s="33">
        <f>IFERROR(__xludf.DUMMYFUNCTION("IMPORTRANGE(""https://docs.google.com/spreadsheets/d/1D2vfyqvZrSRB3H2syxflheuiQYzNPTpGgOdgFd9uWlk/edit?gid=901536474#gid=901536474"",""3806!Z2"")"),0.0)</f>
        <v>0</v>
      </c>
      <c r="K120" s="33">
        <f>IFERROR(__xludf.DUMMYFUNCTION("IMPORTRANGE(""https://docs.google.com/spreadsheets/d/12IEdVEBjKQJvqAAWPA8r9wBGS_rRrYVNO7dHXE_rk60/edit?gid=901536474#gid=901536474"",""3806!Z2"")"),0.0)</f>
        <v>0</v>
      </c>
      <c r="L120" s="33">
        <f>IFERROR(__xludf.DUMMYFUNCTION("IMPORTRANGE(""https://docs.google.com/spreadsheets/d/1LB7ejmtgeP477BH1-F2FJlKUu_JQOyifPAyaNOOGBD0/edit?gid=901536474#gid=901536474"",""3806!Z2"")"),0.0)</f>
        <v>0</v>
      </c>
      <c r="M120" s="33">
        <f>IFERROR(__xludf.DUMMYFUNCTION("IMPORTRANGE(""https://docs.google.com/spreadsheets/d/1b2lul54I9-5u3ezeokOV5YBImAWXrqMYLSuPw_3-hIw/edit?usp=drive_web&amp;ouid=100730119819154221963"",""3806!Z2"")"),0.0)</f>
        <v>0</v>
      </c>
      <c r="N120" s="102"/>
      <c r="O120" s="103">
        <f t="shared" si="3"/>
        <v>78</v>
      </c>
      <c r="P120" s="44" t="s">
        <v>42</v>
      </c>
      <c r="Q120" s="104"/>
      <c r="R120" s="108"/>
      <c r="S120" s="108">
        <v>20.0</v>
      </c>
      <c r="T120" s="104"/>
      <c r="U120" s="47">
        <f t="shared" si="4"/>
        <v>73</v>
      </c>
      <c r="V120" s="104"/>
      <c r="W120" s="104"/>
      <c r="X120" s="96">
        <v>73.0</v>
      </c>
      <c r="Y120" s="106"/>
      <c r="Z120" s="98"/>
    </row>
    <row r="121">
      <c r="A121" s="40"/>
      <c r="B121" s="53">
        <v>6603807.0</v>
      </c>
      <c r="C121" s="109" t="s">
        <v>277</v>
      </c>
      <c r="D121" s="43" t="s">
        <v>29</v>
      </c>
      <c r="E121" s="110" t="s">
        <v>278</v>
      </c>
      <c r="F121" s="33">
        <f>IFERROR(__xludf.DUMMYFUNCTION("IMPORTRANGE(""https://docs.google.com/spreadsheets/d/1ca8cMhzyOckHdNiYinDsEvnGp85K2P0HF-MddinrGXM/edit?gid=901536474#gid=901536474"",""3807!Z2"")"),8.0)</f>
        <v>8</v>
      </c>
      <c r="G121" s="33">
        <f>IFERROR(__xludf.DUMMYFUNCTION("IMPORTRANGE(""https://docs.google.com/spreadsheets/d/1ZPIx2zimbu-1zeGuxfxkhXNgqhfTssUS5s9k5cZf2wc/edit?gid=901536474#gid=901536474"",""3807!Z2"")"),36.0)</f>
        <v>36</v>
      </c>
      <c r="H121" s="33">
        <f>IFERROR(__xludf.DUMMYFUNCTION("IMPORTRANGE(""https://docs.google.com/spreadsheets/d/1XMcMRG5YO-goaR1U_4jER5WefHmr96--8gyjWBUNI6k/edit?gid=901536474#gid=901536474"",""3807!Z2"")"),3.0)</f>
        <v>3</v>
      </c>
      <c r="I121" s="33">
        <f>IFERROR(__xludf.DUMMYFUNCTION("IMPORTRANGE(""https://docs.google.com/spreadsheets/d/1MA0wBASwppm9FIO036lHI8xvhSVH0v5HYfXfVjKbcyQ/edit?usp=drive_web&amp;ouid=100730119819154221963"",""3807!Z2"")"),0.0)</f>
        <v>0</v>
      </c>
      <c r="J121" s="33">
        <f>IFERROR(__xludf.DUMMYFUNCTION("IMPORTRANGE(""https://docs.google.com/spreadsheets/d/1D2vfyqvZrSRB3H2syxflheuiQYzNPTpGgOdgFd9uWlk/edit?gid=901536474#gid=901536474"",""3807!Z2"")"),0.0)</f>
        <v>0</v>
      </c>
      <c r="K121" s="33">
        <f>IFERROR(__xludf.DUMMYFUNCTION("IMPORTRANGE(""https://docs.google.com/spreadsheets/d/12IEdVEBjKQJvqAAWPA8r9wBGS_rRrYVNO7dHXE_rk60/edit?gid=901536474#gid=901536474"",""3807!Z2"")"),0.0)</f>
        <v>0</v>
      </c>
      <c r="L121" s="33">
        <f>IFERROR(__xludf.DUMMYFUNCTION("IMPORTRANGE(""https://docs.google.com/spreadsheets/d/1LB7ejmtgeP477BH1-F2FJlKUu_JQOyifPAyaNOOGBD0/edit?gid=901536474#gid=901536474"",""3807!Z2"")"),0.0)</f>
        <v>0</v>
      </c>
      <c r="M121" s="33">
        <f>IFERROR(__xludf.DUMMYFUNCTION("IMPORTRANGE(""https://docs.google.com/spreadsheets/d/1b2lul54I9-5u3ezeokOV5YBImAWXrqMYLSuPw_3-hIw/edit?usp=drive_web&amp;ouid=100730119819154221963"",""3807!Z2"")"),0.0)</f>
        <v>0</v>
      </c>
      <c r="N121" s="45"/>
      <c r="O121" s="41">
        <f t="shared" si="3"/>
        <v>67</v>
      </c>
      <c r="P121" s="44" t="s">
        <v>196</v>
      </c>
      <c r="Q121" s="104"/>
      <c r="R121" s="108"/>
      <c r="S121" s="108">
        <v>20.0</v>
      </c>
      <c r="T121" s="104"/>
      <c r="U121" s="47">
        <f t="shared" si="4"/>
        <v>123</v>
      </c>
      <c r="V121" s="104"/>
      <c r="W121" s="104"/>
      <c r="X121" s="96">
        <v>123.0</v>
      </c>
      <c r="Y121" s="106"/>
      <c r="Z121" s="98"/>
    </row>
    <row r="122">
      <c r="A122" s="40"/>
      <c r="B122" s="53">
        <v>6603808.0</v>
      </c>
      <c r="C122" s="109" t="s">
        <v>279</v>
      </c>
      <c r="D122" s="43" t="s">
        <v>29</v>
      </c>
      <c r="E122" s="110" t="s">
        <v>280</v>
      </c>
      <c r="F122" s="33">
        <f>IFERROR(__xludf.DUMMYFUNCTION("IMPORTRANGE(""https://docs.google.com/spreadsheets/d/1ca8cMhzyOckHdNiYinDsEvnGp85K2P0HF-MddinrGXM/edit?gid=901536474#gid=901536474"",""3808!Z2"")"),0.0)</f>
        <v>0</v>
      </c>
      <c r="G122" s="33">
        <f>IFERROR(__xludf.DUMMYFUNCTION("IMPORTRANGE(""https://docs.google.com/spreadsheets/d/1ZPIx2zimbu-1zeGuxfxkhXNgqhfTssUS5s9k5cZf2wc/edit?gid=901536474#gid=901536474"",""3808!Z2"")"),16.0)</f>
        <v>16</v>
      </c>
      <c r="H122" s="33">
        <f>IFERROR(__xludf.DUMMYFUNCTION("IMPORTRANGE(""https://docs.google.com/spreadsheets/d/1XMcMRG5YO-goaR1U_4jER5WefHmr96--8gyjWBUNI6k/edit?gid=901536474#gid=901536474"",""3808!Z2"")"),63.0)</f>
        <v>63</v>
      </c>
      <c r="I122" s="33">
        <f>IFERROR(__xludf.DUMMYFUNCTION("IMPORTRANGE(""https://docs.google.com/spreadsheets/d/1MA0wBASwppm9FIO036lHI8xvhSVH0v5HYfXfVjKbcyQ/edit?usp=drive_web&amp;ouid=100730119819154221963"",""3808!Z2"")"),0.0)</f>
        <v>0</v>
      </c>
      <c r="J122" s="33">
        <f>IFERROR(__xludf.DUMMYFUNCTION("IMPORTRANGE(""https://docs.google.com/spreadsheets/d/1D2vfyqvZrSRB3H2syxflheuiQYzNPTpGgOdgFd9uWlk/edit?gid=901536474#gid=901536474"",""3808!Z2"")"),0.0)</f>
        <v>0</v>
      </c>
      <c r="K122" s="33">
        <f>IFERROR(__xludf.DUMMYFUNCTION("IMPORTRANGE(""https://docs.google.com/spreadsheets/d/12IEdVEBjKQJvqAAWPA8r9wBGS_rRrYVNO7dHXE_rk60/edit?gid=901536474#gid=901536474"",""3808!Z2"")"),0.0)</f>
        <v>0</v>
      </c>
      <c r="L122" s="33">
        <f>IFERROR(__xludf.DUMMYFUNCTION("IMPORTRANGE(""https://docs.google.com/spreadsheets/d/1LB7ejmtgeP477BH1-F2FJlKUu_JQOyifPAyaNOOGBD0/edit?gid=901536474#gid=901536474"",""3808!Z2"")"),0.0)</f>
        <v>0</v>
      </c>
      <c r="M122" s="33">
        <f>IFERROR(__xludf.DUMMYFUNCTION("IMPORTRANGE(""https://docs.google.com/spreadsheets/d/1b2lul54I9-5u3ezeokOV5YBImAWXrqMYLSuPw_3-hIw/edit?usp=drive_web&amp;ouid=100730119819154221963"",""3808!Z2"")"),0.0)</f>
        <v>0</v>
      </c>
      <c r="N122" s="102"/>
      <c r="O122" s="103">
        <f t="shared" si="3"/>
        <v>79</v>
      </c>
      <c r="P122" s="104"/>
      <c r="Q122" s="104"/>
      <c r="R122" s="105"/>
      <c r="S122" s="104"/>
      <c r="T122" s="104"/>
      <c r="U122" s="47">
        <f t="shared" si="4"/>
        <v>98</v>
      </c>
      <c r="V122" s="104"/>
      <c r="W122" s="104"/>
      <c r="X122" s="96">
        <v>98.0</v>
      </c>
      <c r="Y122" s="106"/>
      <c r="Z122" s="98"/>
    </row>
    <row r="123">
      <c r="A123" s="40"/>
      <c r="B123" s="53">
        <v>6603809.0</v>
      </c>
      <c r="C123" s="109" t="s">
        <v>281</v>
      </c>
      <c r="D123" s="43" t="s">
        <v>29</v>
      </c>
      <c r="E123" s="110" t="s">
        <v>282</v>
      </c>
      <c r="F123" s="33">
        <f>IFERROR(__xludf.DUMMYFUNCTION("IMPORTRANGE(""https://docs.google.com/spreadsheets/d/1ca8cMhzyOckHdNiYinDsEvnGp85K2P0HF-MddinrGXM/edit?gid=901536474#gid=901536474"",""3809!Z2"")"),8.0)</f>
        <v>8</v>
      </c>
      <c r="G123" s="33">
        <f>IFERROR(__xludf.DUMMYFUNCTION("IMPORTRANGE(""https://docs.google.com/spreadsheets/d/1ZPIx2zimbu-1zeGuxfxkhXNgqhfTssUS5s9k5cZf2wc/edit?gid=901536474#gid=901536474"",""3809!Z2"")"),0.0)</f>
        <v>0</v>
      </c>
      <c r="H123" s="33">
        <f>IFERROR(__xludf.DUMMYFUNCTION("IMPORTRANGE(""https://docs.google.com/spreadsheets/d/1XMcMRG5YO-goaR1U_4jER5WefHmr96--8gyjWBUNI6k/edit?gid=901536474#gid=901536474"",""3809!Z2"")"),73.0)</f>
        <v>73</v>
      </c>
      <c r="I123" s="33">
        <f>IFERROR(__xludf.DUMMYFUNCTION("IMPORTRANGE(""https://docs.google.com/spreadsheets/d/1MA0wBASwppm9FIO036lHI8xvhSVH0v5HYfXfVjKbcyQ/edit?usp=drive_web&amp;ouid=100730119819154221963"",""3809!Z2"")"),0.0)</f>
        <v>0</v>
      </c>
      <c r="J123" s="33">
        <f>IFERROR(__xludf.DUMMYFUNCTION("IMPORTRANGE(""https://docs.google.com/spreadsheets/d/1D2vfyqvZrSRB3H2syxflheuiQYzNPTpGgOdgFd9uWlk/edit?gid=901536474#gid=901536474"",""3809!Z2"")"),0.0)</f>
        <v>0</v>
      </c>
      <c r="K123" s="33">
        <f>IFERROR(__xludf.DUMMYFUNCTION("IMPORTRANGE(""https://docs.google.com/spreadsheets/d/12IEdVEBjKQJvqAAWPA8r9wBGS_rRrYVNO7dHXE_rk60/edit?gid=901536474#gid=901536474"",""3809!Z2"")"),0.0)</f>
        <v>0</v>
      </c>
      <c r="L123" s="33">
        <f>IFERROR(__xludf.DUMMYFUNCTION("IMPORTRANGE(""https://docs.google.com/spreadsheets/d/1LB7ejmtgeP477BH1-F2FJlKUu_JQOyifPAyaNOOGBD0/edit?gid=901536474#gid=901536474"",""3809!Z2"")"),0.0)</f>
        <v>0</v>
      </c>
      <c r="M123" s="33">
        <f>IFERROR(__xludf.DUMMYFUNCTION("IMPORTRANGE(""https://docs.google.com/spreadsheets/d/1b2lul54I9-5u3ezeokOV5YBImAWXrqMYLSuPw_3-hIw/edit?usp=drive_web&amp;ouid=100730119819154221963"",""3809!Z2"")"),0.0)</f>
        <v>0</v>
      </c>
      <c r="N123" s="45"/>
      <c r="O123" s="41">
        <f t="shared" si="3"/>
        <v>81</v>
      </c>
      <c r="P123" s="104"/>
      <c r="Q123" s="104"/>
      <c r="R123" s="105"/>
      <c r="S123" s="104"/>
      <c r="T123" s="104"/>
      <c r="U123" s="47">
        <f t="shared" si="4"/>
        <v>80</v>
      </c>
      <c r="V123" s="104"/>
      <c r="W123" s="104"/>
      <c r="X123" s="96">
        <v>80.0</v>
      </c>
      <c r="Y123" s="106"/>
      <c r="Z123" s="98"/>
    </row>
    <row r="124">
      <c r="A124" s="40"/>
      <c r="B124" s="53">
        <v>6603810.0</v>
      </c>
      <c r="C124" s="109" t="s">
        <v>283</v>
      </c>
      <c r="D124" s="43" t="s">
        <v>29</v>
      </c>
      <c r="E124" s="110" t="s">
        <v>284</v>
      </c>
      <c r="F124" s="33">
        <f>IFERROR(__xludf.DUMMYFUNCTION("IMPORTRANGE(""https://docs.google.com/spreadsheets/d/1ca8cMhzyOckHdNiYinDsEvnGp85K2P0HF-MddinrGXM/edit?gid=901536474#gid=901536474"",""3810!Z2"")"),16.0)</f>
        <v>16</v>
      </c>
      <c r="G124" s="33">
        <f>IFERROR(__xludf.DUMMYFUNCTION("IMPORTRANGE(""https://docs.google.com/spreadsheets/d/1ZPIx2zimbu-1zeGuxfxkhXNgqhfTssUS5s9k5cZf2wc/edit?gid=901536474#gid=901536474"",""3810!Z2"")"),20.0)</f>
        <v>20</v>
      </c>
      <c r="H124" s="33">
        <f>IFERROR(__xludf.DUMMYFUNCTION("IMPORTRANGE(""https://docs.google.com/spreadsheets/d/1XMcMRG5YO-goaR1U_4jER5WefHmr96--8gyjWBUNI6k/edit?gid=901536474#gid=901536474"",""3810!Z2"")"),31.0)</f>
        <v>31</v>
      </c>
      <c r="I124" s="33">
        <f>IFERROR(__xludf.DUMMYFUNCTION("IMPORTRANGE(""https://docs.google.com/spreadsheets/d/1MA0wBASwppm9FIO036lHI8xvhSVH0v5HYfXfVjKbcyQ/edit?usp=drive_web&amp;ouid=100730119819154221963"",""3810!Z2"")"),0.0)</f>
        <v>0</v>
      </c>
      <c r="J124" s="33">
        <f>IFERROR(__xludf.DUMMYFUNCTION("IMPORTRANGE(""https://docs.google.com/spreadsheets/d/1D2vfyqvZrSRB3H2syxflheuiQYzNPTpGgOdgFd9uWlk/edit?gid=901536474#gid=901536474"",""3810!Z2"")"),0.0)</f>
        <v>0</v>
      </c>
      <c r="K124" s="33">
        <f>IFERROR(__xludf.DUMMYFUNCTION("IMPORTRANGE(""https://docs.google.com/spreadsheets/d/12IEdVEBjKQJvqAAWPA8r9wBGS_rRrYVNO7dHXE_rk60/edit?gid=901536474#gid=901536474"",""3810!Z2"")"),0.0)</f>
        <v>0</v>
      </c>
      <c r="L124" s="33">
        <f>IFERROR(__xludf.DUMMYFUNCTION("IMPORTRANGE(""https://docs.google.com/spreadsheets/d/1LB7ejmtgeP477BH1-F2FJlKUu_JQOyifPAyaNOOGBD0/edit?gid=901536474#gid=901536474"",""3810!Z2"")"),0.0)</f>
        <v>0</v>
      </c>
      <c r="M124" s="33">
        <f>IFERROR(__xludf.DUMMYFUNCTION("IMPORTRANGE(""https://docs.google.com/spreadsheets/d/1b2lul54I9-5u3ezeokOV5YBImAWXrqMYLSuPw_3-hIw/edit?usp=drive_web&amp;ouid=100730119819154221963"",""3810!Z2"")"),1.0)</f>
        <v>1</v>
      </c>
      <c r="N124" s="102"/>
      <c r="O124" s="103">
        <f t="shared" si="3"/>
        <v>68</v>
      </c>
      <c r="P124" s="104"/>
      <c r="Q124" s="104"/>
      <c r="R124" s="105"/>
      <c r="S124" s="104"/>
      <c r="T124" s="104"/>
      <c r="U124" s="47">
        <f t="shared" si="4"/>
        <v>86</v>
      </c>
      <c r="V124" s="104"/>
      <c r="W124" s="104"/>
      <c r="X124" s="96">
        <v>86.0</v>
      </c>
      <c r="Y124" s="106"/>
      <c r="Z124" s="98"/>
    </row>
    <row r="125">
      <c r="A125" s="40"/>
      <c r="B125" s="53">
        <v>6603811.0</v>
      </c>
      <c r="C125" s="109" t="s">
        <v>285</v>
      </c>
      <c r="D125" s="43" t="s">
        <v>29</v>
      </c>
      <c r="E125" s="110" t="s">
        <v>286</v>
      </c>
      <c r="F125" s="33">
        <f>IFERROR(__xludf.DUMMYFUNCTION("IMPORTRANGE(""https://docs.google.com/spreadsheets/d/1ca8cMhzyOckHdNiYinDsEvnGp85K2P0HF-MddinrGXM/edit?gid=901536474#gid=901536474"",""3811!Z2"")"),0.0)</f>
        <v>0</v>
      </c>
      <c r="G125" s="33">
        <f>IFERROR(__xludf.DUMMYFUNCTION("IMPORTRANGE(""https://docs.google.com/spreadsheets/d/1ZPIx2zimbu-1zeGuxfxkhXNgqhfTssUS5s9k5cZf2wc/edit?gid=901536474#gid=901536474"",""3811!Z2"")"),40.0)</f>
        <v>40</v>
      </c>
      <c r="H125" s="33">
        <f>IFERROR(__xludf.DUMMYFUNCTION("IMPORTRANGE(""https://docs.google.com/spreadsheets/d/1XMcMRG5YO-goaR1U_4jER5WefHmr96--8gyjWBUNI6k/edit?gid=901536474#gid=901536474"",""3811!Z2"")"),62.0)</f>
        <v>62</v>
      </c>
      <c r="I125" s="33">
        <f>IFERROR(__xludf.DUMMYFUNCTION("IMPORTRANGE(""https://docs.google.com/spreadsheets/d/1MA0wBASwppm9FIO036lHI8xvhSVH0v5HYfXfVjKbcyQ/edit?usp=drive_web&amp;ouid=100730119819154221963"",""3811!Z2"")"),0.0)</f>
        <v>0</v>
      </c>
      <c r="J125" s="33">
        <f>IFERROR(__xludf.DUMMYFUNCTION("IMPORTRANGE(""https://docs.google.com/spreadsheets/d/1D2vfyqvZrSRB3H2syxflheuiQYzNPTpGgOdgFd9uWlk/edit?gid=901536474#gid=901536474"",""3811!Z2"")"),0.0)</f>
        <v>0</v>
      </c>
      <c r="K125" s="33">
        <f>IFERROR(__xludf.DUMMYFUNCTION("IMPORTRANGE(""https://docs.google.com/spreadsheets/d/12IEdVEBjKQJvqAAWPA8r9wBGS_rRrYVNO7dHXE_rk60/edit?gid=901536474#gid=901536474"",""3811!Z2"")"),0.0)</f>
        <v>0</v>
      </c>
      <c r="L125" s="33">
        <f>IFERROR(__xludf.DUMMYFUNCTION("IMPORTRANGE(""https://docs.google.com/spreadsheets/d/1LB7ejmtgeP477BH1-F2FJlKUu_JQOyifPAyaNOOGBD0/edit?gid=901536474#gid=901536474"",""3811!Z2"")"),0.0)</f>
        <v>0</v>
      </c>
      <c r="M125" s="33">
        <f>IFERROR(__xludf.DUMMYFUNCTION("IMPORTRANGE(""https://docs.google.com/spreadsheets/d/1b2lul54I9-5u3ezeokOV5YBImAWXrqMYLSuPw_3-hIw/edit?usp=drive_web&amp;ouid=100730119819154221963"",""3811!Z2"")"),0.0)</f>
        <v>0</v>
      </c>
      <c r="N125" s="45"/>
      <c r="O125" s="41">
        <f t="shared" si="3"/>
        <v>122</v>
      </c>
      <c r="P125" s="44" t="s">
        <v>47</v>
      </c>
      <c r="Q125" s="104"/>
      <c r="R125" s="108"/>
      <c r="S125" s="108">
        <v>20.0</v>
      </c>
      <c r="T125" s="104"/>
      <c r="U125" s="47">
        <f t="shared" si="4"/>
        <v>111</v>
      </c>
      <c r="V125" s="104"/>
      <c r="W125" s="104"/>
      <c r="X125" s="96">
        <v>111.0</v>
      </c>
      <c r="Y125" s="106"/>
      <c r="Z125" s="98"/>
    </row>
    <row r="126">
      <c r="A126" s="40"/>
      <c r="B126" s="53">
        <v>6603812.0</v>
      </c>
      <c r="C126" s="109" t="s">
        <v>287</v>
      </c>
      <c r="D126" s="43" t="s">
        <v>29</v>
      </c>
      <c r="E126" s="110" t="s">
        <v>288</v>
      </c>
      <c r="F126" s="33">
        <f>IFERROR(__xludf.DUMMYFUNCTION("IMPORTRANGE(""https://docs.google.com/spreadsheets/d/1ca8cMhzyOckHdNiYinDsEvnGp85K2P0HF-MddinrGXM/edit?gid=901536474#gid=901536474"",""3812!Z2"")"),0.0)</f>
        <v>0</v>
      </c>
      <c r="G126" s="33">
        <f>IFERROR(__xludf.DUMMYFUNCTION("IMPORTRANGE(""https://docs.google.com/spreadsheets/d/1ZPIx2zimbu-1zeGuxfxkhXNgqhfTssUS5s9k5cZf2wc/edit?gid=901536474#gid=901536474"",""3812!Z2"")"),0.0)</f>
        <v>0</v>
      </c>
      <c r="H126" s="33">
        <f>IFERROR(__xludf.DUMMYFUNCTION("IMPORTRANGE(""https://docs.google.com/spreadsheets/d/1XMcMRG5YO-goaR1U_4jER5WefHmr96--8gyjWBUNI6k/edit?gid=901536474#gid=901536474"",""3812!Z2"")"),16.0)</f>
        <v>16</v>
      </c>
      <c r="I126" s="33">
        <f>IFERROR(__xludf.DUMMYFUNCTION("IMPORTRANGE(""https://docs.google.com/spreadsheets/d/1MA0wBASwppm9FIO036lHI8xvhSVH0v5HYfXfVjKbcyQ/edit?usp=drive_web&amp;ouid=100730119819154221963"",""3812!Z2"")"),0.0)</f>
        <v>0</v>
      </c>
      <c r="J126" s="33">
        <f>IFERROR(__xludf.DUMMYFUNCTION("IMPORTRANGE(""https://docs.google.com/spreadsheets/d/1D2vfyqvZrSRB3H2syxflheuiQYzNPTpGgOdgFd9uWlk/edit?gid=901536474#gid=901536474"",""3812!Z2"")"),0.0)</f>
        <v>0</v>
      </c>
      <c r="K126" s="33">
        <f>IFERROR(__xludf.DUMMYFUNCTION("IMPORTRANGE(""https://docs.google.com/spreadsheets/d/12IEdVEBjKQJvqAAWPA8r9wBGS_rRrYVNO7dHXE_rk60/edit?gid=901536474#gid=901536474"",""3812!Z2"")"),0.0)</f>
        <v>0</v>
      </c>
      <c r="L126" s="33">
        <f>IFERROR(__xludf.DUMMYFUNCTION("IMPORTRANGE(""https://docs.google.com/spreadsheets/d/1LB7ejmtgeP477BH1-F2FJlKUu_JQOyifPAyaNOOGBD0/edit?gid=901536474#gid=901536474"",""3812!Z2"")"),0.0)</f>
        <v>0</v>
      </c>
      <c r="M126" s="33">
        <f>IFERROR(__xludf.DUMMYFUNCTION("IMPORTRANGE(""https://docs.google.com/spreadsheets/d/1b2lul54I9-5u3ezeokOV5YBImAWXrqMYLSuPw_3-hIw/edit?usp=drive_web&amp;ouid=100730119819154221963"",""3812!Z2"")"),0.0)</f>
        <v>0</v>
      </c>
      <c r="N126" s="45"/>
      <c r="O126" s="41">
        <f t="shared" si="3"/>
        <v>36</v>
      </c>
      <c r="P126" s="112" t="s">
        <v>196</v>
      </c>
      <c r="Q126" s="104"/>
      <c r="R126" s="108"/>
      <c r="S126" s="108">
        <v>20.0</v>
      </c>
      <c r="T126" s="104"/>
      <c r="U126" s="47">
        <f t="shared" si="4"/>
        <v>73</v>
      </c>
      <c r="V126" s="104"/>
      <c r="W126" s="104"/>
      <c r="X126" s="96">
        <v>73.0</v>
      </c>
      <c r="Y126" s="106"/>
      <c r="Z126" s="98"/>
    </row>
    <row r="127">
      <c r="A127" s="40"/>
      <c r="B127" s="53">
        <v>6603813.0</v>
      </c>
      <c r="C127" s="109" t="s">
        <v>289</v>
      </c>
      <c r="D127" s="43" t="s">
        <v>29</v>
      </c>
      <c r="E127" s="110" t="s">
        <v>290</v>
      </c>
      <c r="F127" s="33">
        <f>IFERROR(__xludf.DUMMYFUNCTION("IMPORTRANGE(""https://docs.google.com/spreadsheets/d/1ca8cMhzyOckHdNiYinDsEvnGp85K2P0HF-MddinrGXM/edit?gid=901536474#gid=901536474"",""3813!Z2"")"),8.0)</f>
        <v>8</v>
      </c>
      <c r="G127" s="33">
        <f>IFERROR(__xludf.DUMMYFUNCTION("IMPORTRANGE(""https://docs.google.com/spreadsheets/d/1ZPIx2zimbu-1zeGuxfxkhXNgqhfTssUS5s9k5cZf2wc/edit?gid=901536474#gid=901536474"",""3813!Z2"")"),16.0)</f>
        <v>16</v>
      </c>
      <c r="H127" s="33">
        <f>IFERROR(__xludf.DUMMYFUNCTION("IMPORTRANGE(""https://docs.google.com/spreadsheets/d/1XMcMRG5YO-goaR1U_4jER5WefHmr96--8gyjWBUNI6k/edit?gid=901536474#gid=901536474"",""3813!Z2"")"),38.0)</f>
        <v>38</v>
      </c>
      <c r="I127" s="33">
        <f>IFERROR(__xludf.DUMMYFUNCTION("IMPORTRANGE(""https://docs.google.com/spreadsheets/d/1MA0wBASwppm9FIO036lHI8xvhSVH0v5HYfXfVjKbcyQ/edit?usp=drive_web&amp;ouid=100730119819154221963"",""3813!Z2"")"),0.0)</f>
        <v>0</v>
      </c>
      <c r="J127" s="33">
        <f>IFERROR(__xludf.DUMMYFUNCTION("IMPORTRANGE(""https://docs.google.com/spreadsheets/d/1D2vfyqvZrSRB3H2syxflheuiQYzNPTpGgOdgFd9uWlk/edit?gid=901536474#gid=901536474"",""3813!Z2"")"),4.0)</f>
        <v>4</v>
      </c>
      <c r="K127" s="33">
        <f>IFERROR(__xludf.DUMMYFUNCTION("IMPORTRANGE(""https://docs.google.com/spreadsheets/d/12IEdVEBjKQJvqAAWPA8r9wBGS_rRrYVNO7dHXE_rk60/edit?gid=901536474#gid=901536474"",""3813!Z2"")"),7.0)</f>
        <v>7</v>
      </c>
      <c r="L127" s="33">
        <f>IFERROR(__xludf.DUMMYFUNCTION("IMPORTRANGE(""https://docs.google.com/spreadsheets/d/1LB7ejmtgeP477BH1-F2FJlKUu_JQOyifPAyaNOOGBD0/edit?gid=901536474#gid=901536474"",""3813!Z2"")"),0.0)</f>
        <v>0</v>
      </c>
      <c r="M127" s="33">
        <f>IFERROR(__xludf.DUMMYFUNCTION("IMPORTRANGE(""https://docs.google.com/spreadsheets/d/1b2lul54I9-5u3ezeokOV5YBImAWXrqMYLSuPw_3-hIw/edit?usp=drive_web&amp;ouid=100730119819154221963"",""3813!Z2"")"),1.0)</f>
        <v>1</v>
      </c>
      <c r="N127" s="45"/>
      <c r="O127" s="41">
        <f t="shared" si="3"/>
        <v>74</v>
      </c>
      <c r="P127" s="104"/>
      <c r="Q127" s="104"/>
      <c r="R127" s="105"/>
      <c r="S127" s="104"/>
      <c r="T127" s="104"/>
      <c r="U127" s="47">
        <f t="shared" si="4"/>
        <v>79</v>
      </c>
      <c r="V127" s="104"/>
      <c r="W127" s="104"/>
      <c r="X127" s="96">
        <v>79.0</v>
      </c>
      <c r="Y127" s="106"/>
      <c r="Z127" s="98"/>
    </row>
    <row r="128">
      <c r="A128" s="40"/>
      <c r="B128" s="53">
        <v>6603814.0</v>
      </c>
      <c r="C128" s="109" t="s">
        <v>291</v>
      </c>
      <c r="D128" s="43" t="s">
        <v>29</v>
      </c>
      <c r="E128" s="110" t="s">
        <v>292</v>
      </c>
      <c r="F128" s="33">
        <f>IFERROR(__xludf.DUMMYFUNCTION("IMPORTRANGE(""https://docs.google.com/spreadsheets/d/1ca8cMhzyOckHdNiYinDsEvnGp85K2P0HF-MddinrGXM/edit?gid=901536474#gid=901536474"",""3814!Z2"")"),0.0)</f>
        <v>0</v>
      </c>
      <c r="G128" s="33">
        <f>IFERROR(__xludf.DUMMYFUNCTION("IMPORTRANGE(""https://docs.google.com/spreadsheets/d/1ZPIx2zimbu-1zeGuxfxkhXNgqhfTssUS5s9k5cZf2wc/edit?gid=901536474#gid=901536474"",""3814!Z2"")"),44.0)</f>
        <v>44</v>
      </c>
      <c r="H128" s="33">
        <f>IFERROR(__xludf.DUMMYFUNCTION("IMPORTRANGE(""https://docs.google.com/spreadsheets/d/1XMcMRG5YO-goaR1U_4jER5WefHmr96--8gyjWBUNI6k/edit?gid=901536474#gid=901536474"",""3814!Z2"")"),26.0)</f>
        <v>26</v>
      </c>
      <c r="I128" s="33">
        <f>IFERROR(__xludf.DUMMYFUNCTION("IMPORTRANGE(""https://docs.google.com/spreadsheets/d/1MA0wBASwppm9FIO036lHI8xvhSVH0v5HYfXfVjKbcyQ/edit?usp=drive_web&amp;ouid=100730119819154221963"",""3814!Z2"")"),0.0)</f>
        <v>0</v>
      </c>
      <c r="J128" s="33">
        <f>IFERROR(__xludf.DUMMYFUNCTION("IMPORTRANGE(""https://docs.google.com/spreadsheets/d/1D2vfyqvZrSRB3H2syxflheuiQYzNPTpGgOdgFd9uWlk/edit?gid=901536474#gid=901536474"",""3814!Z2"")"),0.0)</f>
        <v>0</v>
      </c>
      <c r="K128" s="33">
        <f>IFERROR(__xludf.DUMMYFUNCTION("IMPORTRANGE(""https://docs.google.com/spreadsheets/d/12IEdVEBjKQJvqAAWPA8r9wBGS_rRrYVNO7dHXE_rk60/edit?gid=901536474#gid=901536474"",""3814!Z2"")"),0.0)</f>
        <v>0</v>
      </c>
      <c r="L128" s="33">
        <f>IFERROR(__xludf.DUMMYFUNCTION("IMPORTRANGE(""https://docs.google.com/spreadsheets/d/1LB7ejmtgeP477BH1-F2FJlKUu_JQOyifPAyaNOOGBD0/edit?gid=901536474#gid=901536474"",""3814!Z2"")"),0.0)</f>
        <v>0</v>
      </c>
      <c r="M128" s="33">
        <f>IFERROR(__xludf.DUMMYFUNCTION("IMPORTRANGE(""https://docs.google.com/spreadsheets/d/1b2lul54I9-5u3ezeokOV5YBImAWXrqMYLSuPw_3-hIw/edit?usp=drive_web&amp;ouid=100730119819154221963"",""3814!Z2"")"),0.0)</f>
        <v>0</v>
      </c>
      <c r="N128" s="45"/>
      <c r="O128" s="41">
        <f t="shared" si="3"/>
        <v>90</v>
      </c>
      <c r="P128" s="44" t="s">
        <v>47</v>
      </c>
      <c r="Q128" s="104"/>
      <c r="R128" s="108"/>
      <c r="S128" s="108">
        <v>20.0</v>
      </c>
      <c r="T128" s="104"/>
      <c r="U128" s="47">
        <f t="shared" si="4"/>
        <v>104</v>
      </c>
      <c r="V128" s="104"/>
      <c r="W128" s="104"/>
      <c r="X128" s="96">
        <v>104.0</v>
      </c>
      <c r="Y128" s="106"/>
      <c r="Z128" s="98"/>
    </row>
    <row r="129">
      <c r="A129" s="40"/>
      <c r="B129" s="53">
        <v>6603815.0</v>
      </c>
      <c r="C129" s="109" t="s">
        <v>293</v>
      </c>
      <c r="D129" s="43" t="s">
        <v>29</v>
      </c>
      <c r="E129" s="110" t="s">
        <v>294</v>
      </c>
      <c r="F129" s="33">
        <f>IFERROR(__xludf.DUMMYFUNCTION("IMPORTRANGE(""https://docs.google.com/spreadsheets/d/1ca8cMhzyOckHdNiYinDsEvnGp85K2P0HF-MddinrGXM/edit?gid=901536474#gid=901536474"",""3815!Z2"")"),0.0)</f>
        <v>0</v>
      </c>
      <c r="G129" s="33">
        <f>IFERROR(__xludf.DUMMYFUNCTION("IMPORTRANGE(""https://docs.google.com/spreadsheets/d/1ZPIx2zimbu-1zeGuxfxkhXNgqhfTssUS5s9k5cZf2wc/edit?gid=901536474#gid=901536474"",""3815!Z2"")"),44.0)</f>
        <v>44</v>
      </c>
      <c r="H129" s="33">
        <f>IFERROR(__xludf.DUMMYFUNCTION("IMPORTRANGE(""https://docs.google.com/spreadsheets/d/1XMcMRG5YO-goaR1U_4jER5WefHmr96--8gyjWBUNI6k/edit?gid=901536474#gid=901536474"",""3815!Z2"")"),26.0)</f>
        <v>26</v>
      </c>
      <c r="I129" s="33">
        <f>IFERROR(__xludf.DUMMYFUNCTION("IMPORTRANGE(""https://docs.google.com/spreadsheets/d/1MA0wBASwppm9FIO036lHI8xvhSVH0v5HYfXfVjKbcyQ/edit?usp=drive_web&amp;ouid=100730119819154221963"",""3815!Z2"")"),0.0)</f>
        <v>0</v>
      </c>
      <c r="J129" s="33">
        <f>IFERROR(__xludf.DUMMYFUNCTION("IMPORTRANGE(""https://docs.google.com/spreadsheets/d/1D2vfyqvZrSRB3H2syxflheuiQYzNPTpGgOdgFd9uWlk/edit?gid=901536474#gid=901536474"",""3815!Z2"")"),0.0)</f>
        <v>0</v>
      </c>
      <c r="K129" s="33">
        <f>IFERROR(__xludf.DUMMYFUNCTION("IMPORTRANGE(""https://docs.google.com/spreadsheets/d/12IEdVEBjKQJvqAAWPA8r9wBGS_rRrYVNO7dHXE_rk60/edit?gid=901536474#gid=901536474"",""3815!Z2"")"),0.0)</f>
        <v>0</v>
      </c>
      <c r="L129" s="33">
        <f>IFERROR(__xludf.DUMMYFUNCTION("IMPORTRANGE(""https://docs.google.com/spreadsheets/d/1LB7ejmtgeP477BH1-F2FJlKUu_JQOyifPAyaNOOGBD0/edit?gid=901536474#gid=901536474"",""3815!Z2"")"),0.0)</f>
        <v>0</v>
      </c>
      <c r="M129" s="33">
        <f>IFERROR(__xludf.DUMMYFUNCTION("IMPORTRANGE(""https://docs.google.com/spreadsheets/d/1b2lul54I9-5u3ezeokOV5YBImAWXrqMYLSuPw_3-hIw/edit?usp=drive_web&amp;ouid=100730119819154221963"",""3815!Z2"")"),0.0)</f>
        <v>0</v>
      </c>
      <c r="N129" s="102"/>
      <c r="O129" s="103">
        <f t="shared" si="3"/>
        <v>70</v>
      </c>
      <c r="P129" s="104"/>
      <c r="Q129" s="104"/>
      <c r="R129" s="105"/>
      <c r="S129" s="104"/>
      <c r="T129" s="104"/>
      <c r="U129" s="47">
        <f t="shared" si="4"/>
        <v>85</v>
      </c>
      <c r="V129" s="104"/>
      <c r="W129" s="104"/>
      <c r="X129" s="96">
        <v>85.0</v>
      </c>
      <c r="Y129" s="106"/>
      <c r="Z129" s="98"/>
    </row>
    <row r="130">
      <c r="A130" s="40"/>
      <c r="B130" s="53">
        <v>6603816.0</v>
      </c>
      <c r="C130" s="109" t="s">
        <v>295</v>
      </c>
      <c r="D130" s="43" t="s">
        <v>29</v>
      </c>
      <c r="E130" s="110" t="s">
        <v>296</v>
      </c>
      <c r="F130" s="33">
        <f>IFERROR(__xludf.DUMMYFUNCTION("IMPORTRANGE(""https://docs.google.com/spreadsheets/d/1ca8cMhzyOckHdNiYinDsEvnGp85K2P0HF-MddinrGXM/edit?gid=901536474#gid=901536474"",""3816!Z2"")"),0.0)</f>
        <v>0</v>
      </c>
      <c r="G130" s="33">
        <f>IFERROR(__xludf.DUMMYFUNCTION("IMPORTRANGE(""https://docs.google.com/spreadsheets/d/1ZPIx2zimbu-1zeGuxfxkhXNgqhfTssUS5s9k5cZf2wc/edit?gid=901536474#gid=901536474"",""3816!Z2"")"),45.0)</f>
        <v>45</v>
      </c>
      <c r="H130" s="33">
        <f>IFERROR(__xludf.DUMMYFUNCTION("IMPORTRANGE(""https://docs.google.com/spreadsheets/d/1XMcMRG5YO-goaR1U_4jER5WefHmr96--8gyjWBUNI6k/edit?gid=901536474#gid=901536474"",""3816!Z2"")"),31.0)</f>
        <v>31</v>
      </c>
      <c r="I130" s="33">
        <f>IFERROR(__xludf.DUMMYFUNCTION("IMPORTRANGE(""https://docs.google.com/spreadsheets/d/1MA0wBASwppm9FIO036lHI8xvhSVH0v5HYfXfVjKbcyQ/edit?usp=drive_web&amp;ouid=100730119819154221963"",""3816!Z2"")"),0.0)</f>
        <v>0</v>
      </c>
      <c r="J130" s="33">
        <f>IFERROR(__xludf.DUMMYFUNCTION("IMPORTRANGE(""https://docs.google.com/spreadsheets/d/1D2vfyqvZrSRB3H2syxflheuiQYzNPTpGgOdgFd9uWlk/edit?gid=901536474#gid=901536474"",""3816!Z2"")"),0.0)</f>
        <v>0</v>
      </c>
      <c r="K130" s="33">
        <f>IFERROR(__xludf.DUMMYFUNCTION("IMPORTRANGE(""https://docs.google.com/spreadsheets/d/12IEdVEBjKQJvqAAWPA8r9wBGS_rRrYVNO7dHXE_rk60/edit?gid=901536474#gid=901536474"",""3816!Z2"")"),0.0)</f>
        <v>0</v>
      </c>
      <c r="L130" s="33">
        <f>IFERROR(__xludf.DUMMYFUNCTION("IMPORTRANGE(""https://docs.google.com/spreadsheets/d/1LB7ejmtgeP477BH1-F2FJlKUu_JQOyifPAyaNOOGBD0/edit?gid=901536474#gid=901536474"",""3816!Z2"")"),0.0)</f>
        <v>0</v>
      </c>
      <c r="M130" s="33">
        <f>IFERROR(__xludf.DUMMYFUNCTION("IMPORTRANGE(""https://docs.google.com/spreadsheets/d/1b2lul54I9-5u3ezeokOV5YBImAWXrqMYLSuPw_3-hIw/edit?usp=drive_web&amp;ouid=100730119819154221963"",""3816!Z2"")"),0.0)</f>
        <v>0</v>
      </c>
      <c r="N130" s="45"/>
      <c r="O130" s="41">
        <f t="shared" si="3"/>
        <v>76</v>
      </c>
      <c r="P130" s="104"/>
      <c r="Q130" s="104"/>
      <c r="R130" s="105"/>
      <c r="S130" s="104"/>
      <c r="T130" s="104"/>
      <c r="U130" s="47">
        <f t="shared" si="4"/>
        <v>83</v>
      </c>
      <c r="V130" s="104"/>
      <c r="W130" s="104"/>
      <c r="X130" s="96">
        <v>83.0</v>
      </c>
      <c r="Y130" s="106"/>
      <c r="Z130" s="98"/>
    </row>
    <row r="131">
      <c r="A131" s="19"/>
      <c r="B131" s="113">
        <v>6603817.0</v>
      </c>
      <c r="C131" s="114" t="s">
        <v>297</v>
      </c>
      <c r="D131" s="79" t="s">
        <v>29</v>
      </c>
      <c r="E131" s="115" t="s">
        <v>298</v>
      </c>
      <c r="F131" s="116">
        <f>IFERROR(__xludf.DUMMYFUNCTION("IMPORTRANGE(""https://docs.google.com/spreadsheets/d/1ca8cMhzyOckHdNiYinDsEvnGp85K2P0HF-MddinrGXM/edit?gid=901536474#gid=901536474"",""3817!Z2"")"),0.0)</f>
        <v>0</v>
      </c>
      <c r="G131" s="116">
        <f>IFERROR(__xludf.DUMMYFUNCTION("IMPORTRANGE(""https://docs.google.com/spreadsheets/d/1ZPIx2zimbu-1zeGuxfxkhXNgqhfTssUS5s9k5cZf2wc/edit?gid=901536474#gid=901536474"",""3817!Z2"")"),40.0)</f>
        <v>40</v>
      </c>
      <c r="H131" s="116">
        <f>IFERROR(__xludf.DUMMYFUNCTION("IMPORTRANGE(""https://docs.google.com/spreadsheets/d/1XMcMRG5YO-goaR1U_4jER5WefHmr96--8gyjWBUNI6k/edit?gid=901536474#gid=901536474"",""3817!Z2"")"),0.0)</f>
        <v>0</v>
      </c>
      <c r="I131" s="116">
        <f>IFERROR(__xludf.DUMMYFUNCTION("IMPORTRANGE(""https://docs.google.com/spreadsheets/d/1MA0wBASwppm9FIO036lHI8xvhSVH0v5HYfXfVjKbcyQ/edit?usp=drive_web&amp;ouid=100730119819154221963"",""3817!Z2"")"),0.0)</f>
        <v>0</v>
      </c>
      <c r="J131" s="116">
        <f>IFERROR(__xludf.DUMMYFUNCTION("IMPORTRANGE(""https://docs.google.com/spreadsheets/d/1D2vfyqvZrSRB3H2syxflheuiQYzNPTpGgOdgFd9uWlk/edit?gid=901536474#gid=901536474"",""3817!Z2"")"),0.0)</f>
        <v>0</v>
      </c>
      <c r="K131" s="116">
        <f>IFERROR(__xludf.DUMMYFUNCTION("IMPORTRANGE(""https://docs.google.com/spreadsheets/d/12IEdVEBjKQJvqAAWPA8r9wBGS_rRrYVNO7dHXE_rk60/edit?gid=901536474#gid=901536474"",""3817!Z2"")"),0.0)</f>
        <v>0</v>
      </c>
      <c r="L131" s="116">
        <f>IFERROR(__xludf.DUMMYFUNCTION("IMPORTRANGE(""https://docs.google.com/spreadsheets/d/1LB7ejmtgeP477BH1-F2FJlKUu_JQOyifPAyaNOOGBD0/edit?gid=901536474#gid=901536474"",""3817!Z2"")"),0.0)</f>
        <v>0</v>
      </c>
      <c r="M131" s="116">
        <f>IFERROR(__xludf.DUMMYFUNCTION("IMPORTRANGE(""https://docs.google.com/spreadsheets/d/1b2lul54I9-5u3ezeokOV5YBImAWXrqMYLSuPw_3-hIw/edit?usp=drive_web&amp;ouid=100730119819154221963"",""3817!Z2"")"),0.0)</f>
        <v>0</v>
      </c>
      <c r="N131" s="117"/>
      <c r="O131" s="77">
        <f t="shared" si="3"/>
        <v>60</v>
      </c>
      <c r="P131" s="118" t="s">
        <v>118</v>
      </c>
      <c r="Q131" s="119"/>
      <c r="R131" s="120"/>
      <c r="S131" s="120">
        <v>20.0</v>
      </c>
      <c r="T131" s="119"/>
      <c r="U131" s="85">
        <f t="shared" si="4"/>
        <v>104</v>
      </c>
      <c r="V131" s="119"/>
      <c r="W131" s="119"/>
      <c r="X131" s="121">
        <v>104.0</v>
      </c>
      <c r="Y131" s="122"/>
      <c r="Z131" s="98"/>
    </row>
    <row r="132">
      <c r="A132" s="123" t="s">
        <v>299</v>
      </c>
      <c r="B132" s="90">
        <v>6703818.0</v>
      </c>
      <c r="C132" s="124" t="s">
        <v>300</v>
      </c>
      <c r="D132" s="26" t="s">
        <v>29</v>
      </c>
      <c r="E132" s="125" t="s">
        <v>301</v>
      </c>
      <c r="F132" s="126">
        <f>IFERROR(__xludf.DUMMYFUNCTION("IMPORTRANGE(""https://docs.google.com/spreadsheets/d/1mkXiGqjbNtqvOEWZzNFByz5W39tvmCidNg1Wc2fuxd8/edit?usp=drivesdk"",""3818!Z2"")"),0.0)</f>
        <v>0</v>
      </c>
      <c r="G132" s="127">
        <f>IFERROR(__xludf.DUMMYFUNCTION("IMPORTRANGE(""https://docs.google.com/spreadsheets/d/13et8RWBJNlvkYNcpjdmRkc7-wKp2x494wJXKZaKyaWE/edit?usp=drivesdk"",""3818!Z2"")"),93.0)</f>
        <v>93</v>
      </c>
      <c r="H132" s="128">
        <f>IFERROR(__xludf.DUMMYFUNCTION("IMPORTRANGE(""https://docs.google.com/spreadsheets/d/13et8RWBJNlvkYNcpjdmRkc7-wKp2x494wJXKZaKyaWE/edit?usp=drivesdk"",""3818!Z2"")"),93.0)</f>
        <v>93</v>
      </c>
      <c r="I132" s="128">
        <f>IFERROR(__xludf.DUMMYFUNCTION("IMPORTRANGE(""https://docs.google.com/spreadsheets/d/1fLxjJj2aUARqretaKi-EiflYh-8Z8twBzy22tl-i0Dg/edit?gid=0#gid=0"",""3818!Z2"")"),0.0)</f>
        <v>0</v>
      </c>
      <c r="J132" s="128">
        <f>IFERROR(__xludf.DUMMYFUNCTION("IMPORTRANGE(""https://docs.google.com/spreadsheets/d/1fLxjJj2aUARqretaKi-EiflYh-8Z8twBzy22tl-i0Dg/edit?usp=drivesdk"",""3818!Z2"")"),0.0)</f>
        <v>0</v>
      </c>
      <c r="K132" s="128">
        <f>IFERROR(__xludf.DUMMYFUNCTION("IMPORTRANGE(""https://docs.google.com/spreadsheets/d/1Bv-wBw4Oqdap8zRv7KGVkW3XauvLaU-_gtnmzdrt5SI/edit?usp=drivesdk"",""3818!Z2"")"),0.0)</f>
        <v>0</v>
      </c>
      <c r="L132" s="128">
        <f>IFERROR(__xludf.DUMMYFUNCTION("IMPORTRANGE(""https://docs.google.com/spreadsheets/d/1UxNeQMFFy4z9g7Y-MDrnJW1SwlaR4iRgB934VavfMuc/edit?usp=drivesdk"",""3818!Z2"")"),0.0)</f>
        <v>0</v>
      </c>
      <c r="M132" s="128">
        <f>IFERROR(__xludf.DUMMYFUNCTION("IMPORTRANGE(""https://docs.google.com/spreadsheets/d/1qWYgiCDAe3aXYeZUMGW6S-sTxbJKVv8dgq2XAtCE2bo/edit?usp=drivesdk"",""3818!Z2"")"),0.0)</f>
        <v>0</v>
      </c>
      <c r="N132" s="128"/>
      <c r="O132" s="24">
        <f t="shared" si="3"/>
        <v>226</v>
      </c>
      <c r="P132" s="129" t="s">
        <v>42</v>
      </c>
      <c r="Q132" s="94"/>
      <c r="R132" s="130"/>
      <c r="S132" s="130">
        <v>40.0</v>
      </c>
      <c r="T132" s="94"/>
      <c r="U132" s="35">
        <f t="shared" si="4"/>
        <v>111</v>
      </c>
      <c r="V132" s="94"/>
      <c r="W132" s="94"/>
      <c r="X132" s="131"/>
      <c r="Y132" s="132">
        <v>111.0</v>
      </c>
      <c r="Z132" s="133"/>
    </row>
    <row r="133">
      <c r="B133" s="53">
        <v>6703819.0</v>
      </c>
      <c r="C133" s="124" t="s">
        <v>302</v>
      </c>
      <c r="D133" s="43" t="s">
        <v>29</v>
      </c>
      <c r="E133" s="134" t="s">
        <v>303</v>
      </c>
      <c r="F133" s="33">
        <f>IFERROR(__xludf.DUMMYFUNCTION("IMPORTRANGE(""https://docs.google.com/spreadsheets/d/1mkXiGqjbNtqvOEWZzNFByz5W39tvmCidNg1Wc2fuxd8/edit?usp=drivesdk"",""3819!Z2"")"),0.0)</f>
        <v>0</v>
      </c>
      <c r="G133" s="127">
        <f>IFERROR(__xludf.DUMMYFUNCTION("IMPORTRANGE(""https://docs.google.com/spreadsheets/d/13et8RWBJNlvkYNcpjdmRkc7-wKp2x494wJXKZaKyaWE/edit?usp=drivesdk"",""3819!Z2"")"),61.0)</f>
        <v>61</v>
      </c>
      <c r="H133" s="135">
        <f>IFERROR(__xludf.DUMMYFUNCTION("IMPORTRANGE(""https://docs.google.com/spreadsheets/d/1DP4qPAi-kFl5WNfDx48jC0sBkEBYiUD9mmjsu-SE6aQ/edit?usp=drivesdk"",""3819!Z2"")"),17.0)</f>
        <v>17</v>
      </c>
      <c r="I133" s="128">
        <f>IFERROR(__xludf.DUMMYFUNCTION("IMPORTRANGE(""https://docs.google.com/spreadsheets/d/1fLxjJj2aUARqretaKi-EiflYh-8Z8twBzy22tl-i0Dg/edit?gid=0#gid=0"",""3819!Z2"")"),0.0)</f>
        <v>0</v>
      </c>
      <c r="J133" s="128">
        <f>IFERROR(__xludf.DUMMYFUNCTION("IMPORTRANGE(""https://docs.google.com/spreadsheets/d/1fLxjJj2aUARqretaKi-EiflYh-8Z8twBzy22tl-i0Dg/edit?usp=drivesdk"",""3819!Z2"")"),0.0)</f>
        <v>0</v>
      </c>
      <c r="K133" s="128">
        <f>IFERROR(__xludf.DUMMYFUNCTION("IMPORTRANGE(""https://docs.google.com/spreadsheets/d/1Bv-wBw4Oqdap8zRv7KGVkW3XauvLaU-_gtnmzdrt5SI/edit?usp=drivesdk"",""3819!Z2"")"),0.0)</f>
        <v>0</v>
      </c>
      <c r="L133" s="128">
        <f>IFERROR(__xludf.DUMMYFUNCTION("IMPORTRANGE(""https://docs.google.com/spreadsheets/d/1UxNeQMFFy4z9g7Y-MDrnJW1SwlaR4iRgB934VavfMuc/edit?usp=drivesdk"",""3819!Z2"")"),0.0)</f>
        <v>0</v>
      </c>
      <c r="M133" s="128">
        <f>IFERROR(__xludf.DUMMYFUNCTION("IMPORTRANGE(""https://docs.google.com/spreadsheets/d/1qWYgiCDAe3aXYeZUMGW6S-sTxbJKVv8dgq2XAtCE2bo/edit?usp=drivesdk"",""3819!Z2"")"),0.0)</f>
        <v>0</v>
      </c>
      <c r="N133" s="135"/>
      <c r="O133" s="41">
        <f t="shared" si="3"/>
        <v>118</v>
      </c>
      <c r="P133" s="59" t="s">
        <v>47</v>
      </c>
      <c r="Q133" s="104"/>
      <c r="R133" s="108"/>
      <c r="S133" s="108">
        <v>40.0</v>
      </c>
      <c r="T133" s="104"/>
      <c r="U133" s="47">
        <f t="shared" si="4"/>
        <v>115</v>
      </c>
      <c r="V133" s="104"/>
      <c r="W133" s="104"/>
      <c r="X133" s="136"/>
      <c r="Y133" s="137">
        <v>115.0</v>
      </c>
      <c r="Z133" s="133"/>
    </row>
    <row r="134">
      <c r="B134" s="53">
        <v>6703820.0</v>
      </c>
      <c r="C134" s="124" t="s">
        <v>304</v>
      </c>
      <c r="D134" s="43" t="s">
        <v>29</v>
      </c>
      <c r="E134" s="134" t="s">
        <v>305</v>
      </c>
      <c r="F134" s="33">
        <f>IFERROR(__xludf.DUMMYFUNCTION("IMPORTRANGE(""https://docs.google.com/spreadsheets/d/1mkXiGqjbNtqvOEWZzNFByz5W39tvmCidNg1Wc2fuxd8/edit?usp=drivesdk"",""3820!Z2"")"),0.0)</f>
        <v>0</v>
      </c>
      <c r="G134" s="127">
        <f>IFERROR(__xludf.DUMMYFUNCTION("IMPORTRANGE(""https://docs.google.com/spreadsheets/d/13et8RWBJNlvkYNcpjdmRkc7-wKp2x494wJXKZaKyaWE/edit?usp=drivesdk"",""3820!Z2"")"),61.0)</f>
        <v>61</v>
      </c>
      <c r="H134" s="128">
        <f>IFERROR(__xludf.DUMMYFUNCTION("IMPORTRANGE(""https://docs.google.com/spreadsheets/d/13et8RWBJNlvkYNcpjdmRkc7-wKp2x494wJXKZaKyaWE/edit?usp=drivesdk"",""3820!Z2"")"),61.0)</f>
        <v>61</v>
      </c>
      <c r="I134" s="128">
        <f>IFERROR(__xludf.DUMMYFUNCTION("IMPORTRANGE(""https://docs.google.com/spreadsheets/d/1fLxjJj2aUARqretaKi-EiflYh-8Z8twBzy22tl-i0Dg/edit?gid=0#gid=0"",""3820!Z2"")"),0.0)</f>
        <v>0</v>
      </c>
      <c r="J134" s="128">
        <f>IFERROR(__xludf.DUMMYFUNCTION("IMPORTRANGE(""https://docs.google.com/spreadsheets/d/1fLxjJj2aUARqretaKi-EiflYh-8Z8twBzy22tl-i0Dg/edit?usp=drivesdk"",""3820!Z2"")"),0.0)</f>
        <v>0</v>
      </c>
      <c r="K134" s="128">
        <f>IFERROR(__xludf.DUMMYFUNCTION("IMPORTRANGE(""https://docs.google.com/spreadsheets/d/1Bv-wBw4Oqdap8zRv7KGVkW3XauvLaU-_gtnmzdrt5SI/edit?usp=drivesdk"",""3820!Z2"")"),0.0)</f>
        <v>0</v>
      </c>
      <c r="L134" s="128">
        <f>IFERROR(__xludf.DUMMYFUNCTION("IMPORTRANGE(""https://docs.google.com/spreadsheets/d/1UxNeQMFFy4z9g7Y-MDrnJW1SwlaR4iRgB934VavfMuc/edit?usp=drivesdk"",""3820!Z2"")"),0.0)</f>
        <v>0</v>
      </c>
      <c r="M134" s="128">
        <f>IFERROR(__xludf.DUMMYFUNCTION("IMPORTRANGE(""https://docs.google.com/spreadsheets/d/1qWYgiCDAe3aXYeZUMGW6S-sTxbJKVv8dgq2XAtCE2bo/edit?usp=drivesdk"",""3820!Z2"")"),0.0)</f>
        <v>0</v>
      </c>
      <c r="N134" s="135"/>
      <c r="O134" s="41">
        <f t="shared" si="3"/>
        <v>162</v>
      </c>
      <c r="P134" s="59" t="s">
        <v>42</v>
      </c>
      <c r="Q134" s="104"/>
      <c r="R134" s="108"/>
      <c r="S134" s="108">
        <v>40.0</v>
      </c>
      <c r="T134" s="104"/>
      <c r="U134" s="47">
        <f t="shared" si="4"/>
        <v>115</v>
      </c>
      <c r="V134" s="104"/>
      <c r="W134" s="104"/>
      <c r="X134" s="136"/>
      <c r="Y134" s="132">
        <v>115.0</v>
      </c>
      <c r="Z134" s="133"/>
    </row>
    <row r="135">
      <c r="B135" s="53">
        <v>6703821.0</v>
      </c>
      <c r="C135" s="124" t="s">
        <v>304</v>
      </c>
      <c r="D135" s="43" t="s">
        <v>29</v>
      </c>
      <c r="E135" s="134" t="s">
        <v>306</v>
      </c>
      <c r="F135" s="33">
        <f>IFERROR(__xludf.DUMMYFUNCTION("IMPORTRANGE(""https://docs.google.com/spreadsheets/d/1mkXiGqjbNtqvOEWZzNFByz5W39tvmCidNg1Wc2fuxd8/edit?usp=drivesdk"",""3821!Z2"")"),16.0)</f>
        <v>16</v>
      </c>
      <c r="G135" s="127">
        <f>IFERROR(__xludf.DUMMYFUNCTION("IMPORTRANGE(""https://docs.google.com/spreadsheets/d/13et8RWBJNlvkYNcpjdmRkc7-wKp2x494wJXKZaKyaWE/edit?usp=drivesdk"",""3821!Z2"")"),24.0)</f>
        <v>24</v>
      </c>
      <c r="H135" s="128">
        <f>IFERROR(__xludf.DUMMYFUNCTION("IMPORTRANGE(""https://docs.google.com/spreadsheets/d/13et8RWBJNlvkYNcpjdmRkc7-wKp2x494wJXKZaKyaWE/edit?usp=drivesdk"",""3821!Z2"")"),24.0)</f>
        <v>24</v>
      </c>
      <c r="I135" s="128">
        <f>IFERROR(__xludf.DUMMYFUNCTION("IMPORTRANGE(""https://docs.google.com/spreadsheets/d/1fLxjJj2aUARqretaKi-EiflYh-8Z8twBzy22tl-i0Dg/edit?gid=0#gid=0"",""3821!Z2"")"),0.0)</f>
        <v>0</v>
      </c>
      <c r="J135" s="128">
        <f>IFERROR(__xludf.DUMMYFUNCTION("IMPORTRANGE(""https://docs.google.com/spreadsheets/d/1fLxjJj2aUARqretaKi-EiflYh-8Z8twBzy22tl-i0Dg/edit?usp=drivesdk"",""3821!Z2"")"),0.0)</f>
        <v>0</v>
      </c>
      <c r="K135" s="128">
        <f>IFERROR(__xludf.DUMMYFUNCTION("IMPORTRANGE(""https://docs.google.com/spreadsheets/d/1Bv-wBw4Oqdap8zRv7KGVkW3XauvLaU-_gtnmzdrt5SI/edit?usp=drivesdk"",""3821!Z2"")"),0.0)</f>
        <v>0</v>
      </c>
      <c r="L135" s="128">
        <f>IFERROR(__xludf.DUMMYFUNCTION("IMPORTRANGE(""https://docs.google.com/spreadsheets/d/1UxNeQMFFy4z9g7Y-MDrnJW1SwlaR4iRgB934VavfMuc/edit?usp=drivesdk"",""3821!Z2"")"),0.0)</f>
        <v>0</v>
      </c>
      <c r="M135" s="128">
        <f>IFERROR(__xludf.DUMMYFUNCTION("IMPORTRANGE(""https://docs.google.com/spreadsheets/d/1qWYgiCDAe3aXYeZUMGW6S-sTxbJKVv8dgq2XAtCE2bo/edit?usp=drivesdk"",""3821!Z2"")"),0.0)</f>
        <v>0</v>
      </c>
      <c r="N135" s="135"/>
      <c r="O135" s="41">
        <f t="shared" si="3"/>
        <v>104</v>
      </c>
      <c r="P135" s="59" t="s">
        <v>47</v>
      </c>
      <c r="Q135" s="104"/>
      <c r="R135" s="108"/>
      <c r="S135" s="108">
        <v>40.0</v>
      </c>
      <c r="T135" s="104"/>
      <c r="U135" s="47">
        <f t="shared" si="4"/>
        <v>82</v>
      </c>
      <c r="V135" s="104"/>
      <c r="W135" s="104"/>
      <c r="X135" s="136"/>
      <c r="Y135" s="137">
        <v>82.0</v>
      </c>
      <c r="Z135" s="133"/>
    </row>
    <row r="136">
      <c r="B136" s="53">
        <v>6703822.0</v>
      </c>
      <c r="C136" s="124" t="s">
        <v>307</v>
      </c>
      <c r="D136" s="43" t="s">
        <v>29</v>
      </c>
      <c r="E136" s="134" t="s">
        <v>308</v>
      </c>
      <c r="F136" s="33">
        <f>IFERROR(__xludf.DUMMYFUNCTION("IMPORTRANGE(""https://docs.google.com/spreadsheets/d/1mkXiGqjbNtqvOEWZzNFByz5W39tvmCidNg1Wc2fuxd8/edit?usp=drivesdk"",""3822!Z2"")"),0.0)</f>
        <v>0</v>
      </c>
      <c r="G136" s="127">
        <f>IFERROR(__xludf.DUMMYFUNCTION("IMPORTRANGE(""https://docs.google.com/spreadsheets/d/13et8RWBJNlvkYNcpjdmRkc7-wKp2x494wJXKZaKyaWE/edit?usp=drivesdk"",""3822!Z2"")"),32.0)</f>
        <v>32</v>
      </c>
      <c r="H136" s="128">
        <f>IFERROR(__xludf.DUMMYFUNCTION("IMPORTRANGE(""https://docs.google.com/spreadsheets/d/13et8RWBJNlvkYNcpjdmRkc7-wKp2x494wJXKZaKyaWE/edit?usp=drivesdk"",""3822!Z2"")"),32.0)</f>
        <v>32</v>
      </c>
      <c r="I136" s="128">
        <f>IFERROR(__xludf.DUMMYFUNCTION("IMPORTRANGE(""https://docs.google.com/spreadsheets/d/1fLxjJj2aUARqretaKi-EiflYh-8Z8twBzy22tl-i0Dg/edit?gid=0#gid=0k"",""3822!Z2"")"),0.0)</f>
        <v>0</v>
      </c>
      <c r="J136" s="128">
        <f>IFERROR(__xludf.DUMMYFUNCTION("IMPORTRANGE(""https://docs.google.com/spreadsheets/d/1fLxjJj2aUARqretaKi-EiflYh-8Z8twBzy22tl-i0Dg/edit?usp=drivesdk"",""3822!Z2"")"),0.0)</f>
        <v>0</v>
      </c>
      <c r="K136" s="128">
        <f>IFERROR(__xludf.DUMMYFUNCTION("IMPORTRANGE(""https://docs.google.com/spreadsheets/d/1Bv-wBw4Oqdap8zRv7KGVkW3XauvLaU-_gtnmzdrt5SI/edit?usp=drivesdk"",""3822!Z2"")"),0.0)</f>
        <v>0</v>
      </c>
      <c r="L136" s="128">
        <f>IFERROR(__xludf.DUMMYFUNCTION("IMPORTRANGE(""https://docs.google.com/spreadsheets/d/1UxNeQMFFy4z9g7Y-MDrnJW1SwlaR4iRgB934VavfMuc/edit?usp=drivesdk"",""3822!Z2"")"),0.0)</f>
        <v>0</v>
      </c>
      <c r="M136" s="128">
        <f>IFERROR(__xludf.DUMMYFUNCTION("IMPORTRANGE(""https://docs.google.com/spreadsheets/d/1qWYgiCDAe3aXYeZUMGW6S-sTxbJKVv8dgq2XAtCE2bo/edit?usp=drivesdk"",""3822!Z2"")"),0.0)</f>
        <v>0</v>
      </c>
      <c r="N136" s="135"/>
      <c r="O136" s="41">
        <f t="shared" si="3"/>
        <v>104</v>
      </c>
      <c r="P136" s="59" t="s">
        <v>47</v>
      </c>
      <c r="Q136" s="104"/>
      <c r="R136" s="108"/>
      <c r="S136" s="108">
        <v>40.0</v>
      </c>
      <c r="T136" s="104"/>
      <c r="U136" s="47">
        <f t="shared" si="4"/>
        <v>87</v>
      </c>
      <c r="V136" s="104"/>
      <c r="W136" s="104"/>
      <c r="X136" s="136"/>
      <c r="Y136" s="137">
        <v>87.0</v>
      </c>
      <c r="Z136" s="133"/>
    </row>
    <row r="137">
      <c r="B137" s="53">
        <v>6703823.0</v>
      </c>
      <c r="C137" s="124" t="s">
        <v>309</v>
      </c>
      <c r="D137" s="43" t="s">
        <v>29</v>
      </c>
      <c r="E137" s="134" t="s">
        <v>310</v>
      </c>
      <c r="F137" s="33">
        <f>IFERROR(__xludf.DUMMYFUNCTION("IMPORTRANGE(""https://docs.google.com/spreadsheets/d/1mkXiGqjbNtqvOEWZzNFByz5W39tvmCidNg1Wc2fuxd8/edit?usp=drivesdk"",""3823!Z2"")"),0.0)</f>
        <v>0</v>
      </c>
      <c r="G137" s="127">
        <f>IFERROR(__xludf.DUMMYFUNCTION("IMPORTRANGE(""https://docs.google.com/spreadsheets/d/13et8RWBJNlvkYNcpjdmRkc7-wKp2x494wJXKZaKyaWE/edit?usp=drivesdk"",""3823!Z2"")"),48.0)</f>
        <v>48</v>
      </c>
      <c r="H137" s="128">
        <f>IFERROR(__xludf.DUMMYFUNCTION("IMPORTRANGE(""https://docs.google.com/spreadsheets/d/13et8RWBJNlvkYNcpjdmRkc7-wKp2x494wJXKZaKyaWE/edit?usp=drivesdk"",""3823!Z2"")"),48.0)</f>
        <v>48</v>
      </c>
      <c r="I137" s="128">
        <f>IFERROR(__xludf.DUMMYFUNCTION("IMPORTRANGE(""https://docs.google.com/spreadsheets/d/1fLxjJj2aUARqretaKi-EiflYh-8Z8twBzy22tl-i0Dg/edit?gid=0#gid=0"",""3823!Z2"")"),0.0)</f>
        <v>0</v>
      </c>
      <c r="J137" s="128">
        <f>IFERROR(__xludf.DUMMYFUNCTION("IMPORTRANGE(""https://docs.google.com/spreadsheets/d/1fLxjJj2aUARqretaKi-EiflYh-8Z8twBzy22tl-i0Dg/edit?usp=drivesdk"",""3823!Z2"")"),0.0)</f>
        <v>0</v>
      </c>
      <c r="K137" s="128">
        <f>IFERROR(__xludf.DUMMYFUNCTION("IMPORTRANGE(""https://docs.google.com/spreadsheets/d/1Bv-wBw4Oqdap8zRv7KGVkW3XauvLaU-_gtnmzdrt5SI/edit?usp=drivesdk"",""3823!Z2"")"),0.0)</f>
        <v>0</v>
      </c>
      <c r="L137" s="128">
        <f>IFERROR(__xludf.DUMMYFUNCTION("IMPORTRANGE(""https://docs.google.com/spreadsheets/d/1UxNeQMFFy4z9g7Y-MDrnJW1SwlaR4iRgB934VavfMuc/edit?usp=drivesdk"",""3823!Z2"")"),0.0)</f>
        <v>0</v>
      </c>
      <c r="M137" s="128">
        <f>IFERROR(__xludf.DUMMYFUNCTION("IMPORTRANGE(""https://docs.google.com/spreadsheets/d/1qWYgiCDAe3aXYeZUMGW6S-sTxbJKVv8dgq2XAtCE2bo/edit?usp=drivesdk"",""3823!Z2"")"),0.0)</f>
        <v>0</v>
      </c>
      <c r="N137" s="135"/>
      <c r="O137" s="41">
        <f t="shared" si="3"/>
        <v>96</v>
      </c>
      <c r="P137" s="44"/>
      <c r="Q137" s="104"/>
      <c r="R137" s="108"/>
      <c r="S137" s="108"/>
      <c r="T137" s="104"/>
      <c r="U137" s="47">
        <f t="shared" si="4"/>
        <v>67</v>
      </c>
      <c r="V137" s="104"/>
      <c r="W137" s="104"/>
      <c r="X137" s="136"/>
      <c r="Y137" s="138">
        <v>67.0</v>
      </c>
      <c r="Z137" s="133"/>
    </row>
    <row r="138">
      <c r="B138" s="53">
        <v>6703824.0</v>
      </c>
      <c r="C138" s="124" t="s">
        <v>309</v>
      </c>
      <c r="D138" s="43" t="s">
        <v>29</v>
      </c>
      <c r="E138" s="134" t="s">
        <v>311</v>
      </c>
      <c r="F138" s="33">
        <f>IFERROR(__xludf.DUMMYFUNCTION("IMPORTRANGE(""https://docs.google.com/spreadsheets/d/1mkXiGqjbNtqvOEWZzNFByz5W39tvmCidNg1Wc2fuxd8/edit?usp=drivesdk"",""3824!Z2"")"),8.0)</f>
        <v>8</v>
      </c>
      <c r="G138" s="127">
        <f>IFERROR(__xludf.DUMMYFUNCTION("IMPORTRANGE(""https://docs.google.com/spreadsheets/d/13et8RWBJNlvkYNcpjdmRkc7-wKp2x494wJXKZaKyaWE/edit?usp=drivesdk"",""3824!Z2"")"),56.0)</f>
        <v>56</v>
      </c>
      <c r="H138" s="128">
        <f>IFERROR(__xludf.DUMMYFUNCTION("IMPORTRANGE(""https://docs.google.com/spreadsheets/d/13et8RWBJNlvkYNcpjdmRkc7-wKp2x494wJXKZaKyaWE/edit?usp=drivesdk"",""3834!Z2"")"),194.0)</f>
        <v>194</v>
      </c>
      <c r="I138" s="128">
        <f>IFERROR(__xludf.DUMMYFUNCTION("IMPORTRANGE(""https://docs.google.com/spreadsheets/d/1fLxjJj2aUARqretaKi-EiflYh-8Z8twBzy22tl-i0Dg/edit?gid=0#gid=0"",""3824!Z2"")"),0.0)</f>
        <v>0</v>
      </c>
      <c r="J138" s="128">
        <f>IFERROR(__xludf.DUMMYFUNCTION("IMPORTRANGE(""https://docs.google.com/spreadsheets/d/1fLxjJj2aUARqretaKi-EiflYh-8Z8twBzy22tl-i0Dg/edit?usp=drivesdk"",""3824!Z2"")"),0.0)</f>
        <v>0</v>
      </c>
      <c r="K138" s="128">
        <f>IFERROR(__xludf.DUMMYFUNCTION("IMPORTRANGE(""https://docs.google.com/spreadsheets/d/1Bv-wBw4Oqdap8zRv7KGVkW3XauvLaU-_gtnmzdrt5SI/edit?usp=drivesdk"",""3824!Z2"")"),0.0)</f>
        <v>0</v>
      </c>
      <c r="L138" s="128">
        <f>IFERROR(__xludf.DUMMYFUNCTION("IMPORTRANGE(""https://docs.google.com/spreadsheets/d/1UxNeQMFFy4z9g7Y-MDrnJW1SwlaR4iRgB934VavfMuc/edit?usp=drivesdk"",""3824!Z2"")"),0.0)</f>
        <v>0</v>
      </c>
      <c r="M138" s="128">
        <f>IFERROR(__xludf.DUMMYFUNCTION("IMPORTRANGE(""https://docs.google.com/spreadsheets/d/1qWYgiCDAe3aXYeZUMGW6S-sTxbJKVv8dgq2XAtCE2bo/edit?usp=drivesdk"",""3824!Z2"")"),0.0)</f>
        <v>0</v>
      </c>
      <c r="N138" s="135"/>
      <c r="O138" s="41">
        <f t="shared" si="3"/>
        <v>258</v>
      </c>
      <c r="P138" s="44"/>
      <c r="Q138" s="104"/>
      <c r="R138" s="108"/>
      <c r="S138" s="108"/>
      <c r="T138" s="104"/>
      <c r="U138" s="47">
        <f t="shared" si="4"/>
        <v>106</v>
      </c>
      <c r="V138" s="104"/>
      <c r="W138" s="104"/>
      <c r="X138" s="136"/>
      <c r="Y138" s="138">
        <v>106.0</v>
      </c>
      <c r="Z138" s="133"/>
    </row>
    <row r="139">
      <c r="B139" s="53">
        <v>6703825.0</v>
      </c>
      <c r="C139" s="124" t="s">
        <v>312</v>
      </c>
      <c r="D139" s="43" t="s">
        <v>29</v>
      </c>
      <c r="E139" s="134" t="s">
        <v>313</v>
      </c>
      <c r="F139" s="33">
        <f>IFERROR(__xludf.DUMMYFUNCTION("IMPORTRANGE(""https://docs.google.com/spreadsheets/d/1mkXiGqjbNtqvOEWZzNFByz5W39tvmCidNg1Wc2fuxd8/edit?usp=drivesdk"",""3825!Z2"")"),0.0)</f>
        <v>0</v>
      </c>
      <c r="G139" s="127">
        <f>IFERROR(__xludf.DUMMYFUNCTION("IMPORTRANGE(""https://docs.google.com/spreadsheets/d/13et8RWBJNlvkYNcpjdmRkc7-wKp2x494wJXKZaKyaWE/edit?usp=drivesdk"",""3825!Z2"")"),52.0)</f>
        <v>52</v>
      </c>
      <c r="H139" s="128">
        <f>IFERROR(__xludf.DUMMYFUNCTION("IMPORTRANGE(""https://docs.google.com/spreadsheets/d/13et8RWBJNlvkYNcpjdmRkc7-wKp2x494wJXKZaKyaWE/edit?usp=drivesdk"",""3825!Z2"")"),52.0)</f>
        <v>52</v>
      </c>
      <c r="I139" s="128">
        <f>IFERROR(__xludf.DUMMYFUNCTION("IMPORTRANGE(""https://docs.google.com/spreadsheets/d/1fLxjJj2aUARqretaKi-EiflYh-8Z8twBzy22tl-i0Dg/edit?gid=0#gid=0"",""3825!Z2"")"),0.0)</f>
        <v>0</v>
      </c>
      <c r="J139" s="128">
        <f>IFERROR(__xludf.DUMMYFUNCTION("IMPORTRANGE(""https://docs.google.com/spreadsheets/d/1fLxjJj2aUARqretaKi-EiflYh-8Z8twBzy22tl-i0Dg/edit?usp=drivesdk"",""3825!Z2"")"),0.0)</f>
        <v>0</v>
      </c>
      <c r="K139" s="128">
        <f>IFERROR(__xludf.DUMMYFUNCTION("IMPORTRANGE(""https://docs.google.com/spreadsheets/d/1Bv-wBw4Oqdap8zRv7KGVkW3XauvLaU-_gtnmzdrt5SI/edit?usp=drivesdk"",""3825!Z2"")"),0.0)</f>
        <v>0</v>
      </c>
      <c r="L139" s="128">
        <f>IFERROR(__xludf.DUMMYFUNCTION("IMPORTRANGE(""https://docs.google.com/spreadsheets/d/1UxNeQMFFy4z9g7Y-MDrnJW1SwlaR4iRgB934VavfMuc/edit?usp=drivesdk"",""3825!Z2"")"),0.0)</f>
        <v>0</v>
      </c>
      <c r="M139" s="128">
        <f>IFERROR(__xludf.DUMMYFUNCTION("IMPORTRANGE(""https://docs.google.com/spreadsheets/d/1qWYgiCDAe3aXYeZUMGW6S-sTxbJKVv8dgq2XAtCE2bo/edit?usp=drivesdk"",""3825!Z2"")"),0.0)</f>
        <v>0</v>
      </c>
      <c r="N139" s="135"/>
      <c r="O139" s="41">
        <f t="shared" si="3"/>
        <v>104</v>
      </c>
      <c r="P139" s="44"/>
      <c r="Q139" s="104"/>
      <c r="R139" s="108"/>
      <c r="S139" s="108"/>
      <c r="T139" s="104"/>
      <c r="U139" s="47">
        <f t="shared" si="4"/>
        <v>66</v>
      </c>
      <c r="V139" s="104"/>
      <c r="W139" s="104"/>
      <c r="X139" s="136"/>
      <c r="Y139" s="138">
        <v>66.0</v>
      </c>
      <c r="Z139" s="133"/>
    </row>
    <row r="140">
      <c r="B140" s="53">
        <v>6703826.0</v>
      </c>
      <c r="C140" s="124" t="s">
        <v>314</v>
      </c>
      <c r="D140" s="43" t="s">
        <v>29</v>
      </c>
      <c r="E140" s="134" t="s">
        <v>315</v>
      </c>
      <c r="F140" s="33">
        <f>IFERROR(__xludf.DUMMYFUNCTION("IMPORTRANGE(""https://docs.google.com/spreadsheets/d/1mkXiGqjbNtqvOEWZzNFByz5W39tvmCidNg1Wc2fuxd8/edit?usp=drivesdk"",""3826!Z2"")"),0.0)</f>
        <v>0</v>
      </c>
      <c r="G140" s="127">
        <f>IFERROR(__xludf.DUMMYFUNCTION("IMPORTRANGE(""https://docs.google.com/spreadsheets/d/13et8RWBJNlvkYNcpjdmRkc7-wKp2x494wJXKZaKyaWE/edit?usp=drivesdk"",""3826!Z2"")"),44.0)</f>
        <v>44</v>
      </c>
      <c r="H140" s="128">
        <f>IFERROR(__xludf.DUMMYFUNCTION("IMPORTRANGE(""https://docs.google.com/spreadsheets/d/13et8RWBJNlvkYNcpjdmRkc7-wKp2x494wJXKZaKyaWE/edit?usp=drivesdk"",""3826!Z2"")"),44.0)</f>
        <v>44</v>
      </c>
      <c r="I140" s="128">
        <f>IFERROR(__xludf.DUMMYFUNCTION("IMPORTRANGE(""https://docs.google.com/spreadsheets/d/1fLxjJj2aUARqretaKi-EiflYh-8Z8twBzy22tl-i0Dg/edit?gid=0#gid=0"",""3826!Z2"")"),0.0)</f>
        <v>0</v>
      </c>
      <c r="J140" s="128">
        <f>IFERROR(__xludf.DUMMYFUNCTION("IMPORTRANGE(""https://docs.google.com/spreadsheets/d/1fLxjJj2aUARqretaKi-EiflYh-8Z8twBzy22tl-i0Dg/edit?usp=drivesdk"",""3826!Z2"")"),0.0)</f>
        <v>0</v>
      </c>
      <c r="K140" s="128">
        <f>IFERROR(__xludf.DUMMYFUNCTION("IMPORTRANGE(""https://docs.google.com/spreadsheets/d/1Bv-wBw4Oqdap8zRv7KGVkW3XauvLaU-_gtnmzdrt5SI/edit?usp=drivesdk"",""3826!Z2"")"),4.0)</f>
        <v>4</v>
      </c>
      <c r="L140" s="128">
        <f>IFERROR(__xludf.DUMMYFUNCTION("IMPORTRANGE(""https://docs.google.com/spreadsheets/d/1UxNeQMFFy4z9g7Y-MDrnJW1SwlaR4iRgB934VavfMuc/edit?usp=drivesdk"",""3826!Z2"")"),0.0)</f>
        <v>0</v>
      </c>
      <c r="M140" s="128">
        <f>IFERROR(__xludf.DUMMYFUNCTION("IMPORTRANGE(""https://docs.google.com/spreadsheets/d/1qWYgiCDAe3aXYeZUMGW6S-sTxbJKVv8dgq2XAtCE2bo/edit?usp=drivesdk"",""3826!Z2"")"),0.0)</f>
        <v>0</v>
      </c>
      <c r="N140" s="135"/>
      <c r="O140" s="41">
        <f t="shared" si="3"/>
        <v>92</v>
      </c>
      <c r="P140" s="44"/>
      <c r="Q140" s="104"/>
      <c r="R140" s="108"/>
      <c r="S140" s="108"/>
      <c r="T140" s="104"/>
      <c r="U140" s="47">
        <f t="shared" si="4"/>
        <v>78</v>
      </c>
      <c r="V140" s="104"/>
      <c r="W140" s="104"/>
      <c r="X140" s="136"/>
      <c r="Y140" s="138">
        <v>78.0</v>
      </c>
      <c r="Z140" s="133"/>
    </row>
    <row r="141">
      <c r="B141" s="53">
        <v>6703827.0</v>
      </c>
      <c r="C141" s="124" t="s">
        <v>316</v>
      </c>
      <c r="D141" s="43" t="s">
        <v>29</v>
      </c>
      <c r="E141" s="134" t="s">
        <v>317</v>
      </c>
      <c r="F141" s="33">
        <f>IFERROR(__xludf.DUMMYFUNCTION("IMPORTRANGE(""https://docs.google.com/spreadsheets/d/1mkXiGqjbNtqvOEWZzNFByz5W39tvmCidNg1Wc2fuxd8/edit?usp=drivesdk"",""3827!Z2"")"),0.0)</f>
        <v>0</v>
      </c>
      <c r="G141" s="127">
        <f>IFERROR(__xludf.DUMMYFUNCTION("IMPORTRANGE(""https://docs.google.com/spreadsheets/d/13et8RWBJNlvkYNcpjdmRkc7-wKp2x494wJXKZaKyaWE/edit?usp=drivesdk"",""3827!Z2"")"),56.0)</f>
        <v>56</v>
      </c>
      <c r="H141" s="128">
        <f>IFERROR(__xludf.DUMMYFUNCTION("IMPORTRANGE(""https://docs.google.com/spreadsheets/d/13et8RWBJNlvkYNcpjdmRkc7-wKp2x494wJXKZaKyaWE/edit?usp=drivesdk"",""3827!Z2"")"),56.0)</f>
        <v>56</v>
      </c>
      <c r="I141" s="128">
        <f>IFERROR(__xludf.DUMMYFUNCTION("IMPORTRANGE(""https://docs.google.com/spreadsheets/d/1DP4qPAi-kFl5WNfDx48jC0sBkEBYiUD9mmjsu-SE6aQ/edit?usp=drivesdk"",""3827!Z2"")"),22.0)</f>
        <v>22</v>
      </c>
      <c r="J141" s="128">
        <f>IFERROR(__xludf.DUMMYFUNCTION("IMPORTRANGE(""https://docs.google.com/spreadsheets/d/1fLxjJj2aUARqretaKi-EiflYh-8Z8twBzy22tl-i0Dg/edit?usp=drivesdk"",""3827!Z2"")"),0.0)</f>
        <v>0</v>
      </c>
      <c r="K141" s="128">
        <f>IFERROR(__xludf.DUMMYFUNCTION("IMPORTRANGE(""https://docs.google.com/spreadsheets/d/1Bv-wBw4Oqdap8zRv7KGVkW3XauvLaU-_gtnmzdrt5SI/edit?usp=drivesdk"",""3827!Z2"")"),0.0)</f>
        <v>0</v>
      </c>
      <c r="L141" s="128">
        <f>IFERROR(__xludf.DUMMYFUNCTION("IMPORTRANGE(""https://docs.google.com/spreadsheets/d/1UxNeQMFFy4z9g7Y-MDrnJW1SwlaR4iRgB934VavfMuc/edit?usp=drivesdk"",""3827!Z2"")"),0.0)</f>
        <v>0</v>
      </c>
      <c r="M141" s="128">
        <f>IFERROR(__xludf.DUMMYFUNCTION("IMPORTRANGE(""https://docs.google.com/spreadsheets/d/1qWYgiCDAe3aXYeZUMGW6S-sTxbJKVv8dgq2XAtCE2bo/edit?usp=drivesdk"",""3827!Z2"")"),0.0)</f>
        <v>0</v>
      </c>
      <c r="N141" s="135"/>
      <c r="O141" s="41">
        <f t="shared" si="3"/>
        <v>134</v>
      </c>
      <c r="P141" s="44"/>
      <c r="Q141" s="104"/>
      <c r="R141" s="108"/>
      <c r="S141" s="108"/>
      <c r="T141" s="104"/>
      <c r="U141" s="47">
        <f t="shared" si="4"/>
        <v>84</v>
      </c>
      <c r="V141" s="104"/>
      <c r="W141" s="104"/>
      <c r="X141" s="136"/>
      <c r="Y141" s="138">
        <v>84.0</v>
      </c>
      <c r="Z141" s="133"/>
    </row>
    <row r="142">
      <c r="B142" s="53">
        <v>6703828.0</v>
      </c>
      <c r="C142" s="124" t="s">
        <v>318</v>
      </c>
      <c r="D142" s="43" t="s">
        <v>29</v>
      </c>
      <c r="E142" s="134" t="s">
        <v>319</v>
      </c>
      <c r="F142" s="33">
        <f>IFERROR(__xludf.DUMMYFUNCTION("IMPORTRANGE(""https://docs.google.com/spreadsheets/d/1mkXiGqjbNtqvOEWZzNFByz5W39tvmCidNg1Wc2fuxd8/edit?usp=drivesdk"",""3824!Z2"")"),8.0)</f>
        <v>8</v>
      </c>
      <c r="G142" s="127">
        <f>IFERROR(__xludf.DUMMYFUNCTION("IMPORTRANGE(""https://docs.google.com/spreadsheets/d/13et8RWBJNlvkYNcpjdmRkc7-wKp2x494wJXKZaKyaWE/edit?usp=drivesdk"",""3828!Z2"")"),56.0)</f>
        <v>56</v>
      </c>
      <c r="H142" s="128">
        <f>IFERROR(__xludf.DUMMYFUNCTION("IMPORTRANGE(""https://docs.google.com/spreadsheets/d/13et8RWBJNlvkYNcpjdmRkc7-wKp2x494wJXKZaKyaWE/edit?usp=drivesdk"",""3828!Z2"")"),56.0)</f>
        <v>56</v>
      </c>
      <c r="I142" s="128">
        <f>IFERROR(__xludf.DUMMYFUNCTION("IMPORTRANGE(""https://docs.google.com/spreadsheets/d/1fLxjJj2aUARqretaKi-EiflYh-8Z8twBzy22tl-i0Dg/edit?gid=0#gid=0"",""3828!Z2"")"),0.0)</f>
        <v>0</v>
      </c>
      <c r="J142" s="128">
        <f>IFERROR(__xludf.DUMMYFUNCTION("IMPORTRANGE(""https://docs.google.com/spreadsheets/d/1fLxjJj2aUARqretaKi-EiflYh-8Z8twBzy22tl-i0Dg/edit?usp=drivesdk"",""3828!Z2"")"),0.0)</f>
        <v>0</v>
      </c>
      <c r="K142" s="128">
        <f>IFERROR(__xludf.DUMMYFUNCTION("IMPORTRANGE(""https://docs.google.com/spreadsheets/d/1Bv-wBw4Oqdap8zRv7KGVkW3XauvLaU-_gtnmzdrt5SI/edit?usp=drivesdk"",""3828!Z2"")"),0.0)</f>
        <v>0</v>
      </c>
      <c r="L142" s="128">
        <f>IFERROR(__xludf.DUMMYFUNCTION("IMPORTRANGE(""https://docs.google.com/spreadsheets/d/1UxNeQMFFy4z9g7Y-MDrnJW1SwlaR4iRgB934VavfMuc/edit?usp=drivesdk"",""3828!Z2"")"),0.0)</f>
        <v>0</v>
      </c>
      <c r="M142" s="128">
        <f>IFERROR(__xludf.DUMMYFUNCTION("IMPORTRANGE(""https://docs.google.com/spreadsheets/d/1qWYgiCDAe3aXYeZUMGW6S-sTxbJKVv8dgq2XAtCE2bo/edit?usp=drivesdk"",""3828!Z2"")"),0.0)</f>
        <v>0</v>
      </c>
      <c r="N142" s="135"/>
      <c r="O142" s="41">
        <f t="shared" si="3"/>
        <v>120</v>
      </c>
      <c r="P142" s="44"/>
      <c r="Q142" s="104"/>
      <c r="R142" s="108"/>
      <c r="S142" s="108"/>
      <c r="T142" s="104"/>
      <c r="U142" s="47">
        <f t="shared" si="4"/>
        <v>59</v>
      </c>
      <c r="V142" s="104"/>
      <c r="W142" s="104"/>
      <c r="X142" s="136"/>
      <c r="Y142" s="138">
        <v>59.0</v>
      </c>
      <c r="Z142" s="133"/>
    </row>
    <row r="143">
      <c r="B143" s="53">
        <v>6703829.0</v>
      </c>
      <c r="C143" s="124" t="s">
        <v>320</v>
      </c>
      <c r="D143" s="43" t="s">
        <v>29</v>
      </c>
      <c r="E143" s="134" t="s">
        <v>321</v>
      </c>
      <c r="F143" s="33">
        <f>IFERROR(__xludf.DUMMYFUNCTION("IMPORTRANGE(""https://docs.google.com/spreadsheets/d/1mkXiGqjbNtqvOEWZzNFByz5W39tvmCidNg1Wc2fuxd8/edit?usp=drivesdk"",""3829!Z2"")"),8.0)</f>
        <v>8</v>
      </c>
      <c r="G143" s="127">
        <f>IFERROR(__xludf.DUMMYFUNCTION("IMPORTRANGE(""https://docs.google.com/spreadsheets/d/13et8RWBJNlvkYNcpjdmRkc7-wKp2x494wJXKZaKyaWE/edit?usp=drivesdk"",""3829!Z2"")"),48.0)</f>
        <v>48</v>
      </c>
      <c r="H143" s="128">
        <f>IFERROR(__xludf.DUMMYFUNCTION("IMPORTRANGE(""https://docs.google.com/spreadsheets/d/13et8RWBJNlvkYNcpjdmRkc7-wKp2x494wJXKZaKyaWE/edit?usp=drivesdk"",""3829!Z2"")"),48.0)</f>
        <v>48</v>
      </c>
      <c r="I143" s="128">
        <f>IFERROR(__xludf.DUMMYFUNCTION("IMPORTRANGE(""https://docs.google.com/spreadsheets/d/1fLxjJj2aUARqretaKi-EiflYh-8Z8twBzy22tl-i0Dg/edit?gid=0#gid=0"",""3829!Z2"")"),0.0)</f>
        <v>0</v>
      </c>
      <c r="J143" s="128">
        <f>IFERROR(__xludf.DUMMYFUNCTION("IMPORTRANGE(""https://docs.google.com/spreadsheets/d/1fLxjJj2aUARqretaKi-EiflYh-8Z8twBzy22tl-i0Dg/edit?usp=drivesdk"",""3829!Z2"")"),0.0)</f>
        <v>0</v>
      </c>
      <c r="K143" s="128">
        <f>IFERROR(__xludf.DUMMYFUNCTION("IMPORTRANGE(""https://docs.google.com/spreadsheets/d/1Bv-wBw4Oqdap8zRv7KGVkW3XauvLaU-_gtnmzdrt5SI/edit?usp=drivesdk"",""3829!Z2"")"),0.0)</f>
        <v>0</v>
      </c>
      <c r="L143" s="128">
        <f>IFERROR(__xludf.DUMMYFUNCTION("IMPORTRANGE(""https://docs.google.com/spreadsheets/d/1UxNeQMFFy4z9g7Y-MDrnJW1SwlaR4iRgB934VavfMuc/edit?usp=drivesdk"",""3829!Z2"")"),0.0)</f>
        <v>0</v>
      </c>
      <c r="M143" s="128">
        <f>IFERROR(__xludf.DUMMYFUNCTION("IMPORTRANGE(""https://docs.google.com/spreadsheets/d/1qWYgiCDAe3aXYeZUMGW6S-sTxbJKVv8dgq2XAtCE2bo/edit?usp=drivesdk"",""3829!Z2"")"),0.0)</f>
        <v>0</v>
      </c>
      <c r="N143" s="135"/>
      <c r="O143" s="41">
        <f t="shared" si="3"/>
        <v>104</v>
      </c>
      <c r="P143" s="44"/>
      <c r="Q143" s="104"/>
      <c r="R143" s="108"/>
      <c r="S143" s="108"/>
      <c r="T143" s="104"/>
      <c r="U143" s="47">
        <f t="shared" si="4"/>
        <v>62</v>
      </c>
      <c r="V143" s="104"/>
      <c r="W143" s="104"/>
      <c r="X143" s="136"/>
      <c r="Y143" s="138">
        <v>62.0</v>
      </c>
      <c r="Z143" s="133"/>
    </row>
    <row r="144">
      <c r="B144" s="53">
        <v>6703830.0</v>
      </c>
      <c r="C144" s="124" t="s">
        <v>322</v>
      </c>
      <c r="D144" s="43" t="s">
        <v>29</v>
      </c>
      <c r="E144" s="134" t="s">
        <v>323</v>
      </c>
      <c r="F144" s="33">
        <f>IFERROR(__xludf.DUMMYFUNCTION("IMPORTRANGE(""https://docs.google.com/spreadsheets/d/1mkXiGqjbNtqvOEWZzNFByz5W39tvmCidNg1Wc2fuxd8/edit?usp=drivesdk"",""3824!Z2"")"),8.0)</f>
        <v>8</v>
      </c>
      <c r="G144" s="127">
        <f>IFERROR(__xludf.DUMMYFUNCTION("IMPORTRANGE(""https://docs.google.com/spreadsheets/d/13et8RWBJNlvkYNcpjdmRkc7-wKp2x494wJXKZaKyaWE/edit?usp=drivesdk"",""3830!Z2"")"),48.0)</f>
        <v>48</v>
      </c>
      <c r="H144" s="128">
        <f>IFERROR(__xludf.DUMMYFUNCTION("IMPORTRANGE(""https://docs.google.com/spreadsheets/d/13et8RWBJNlvkYNcpjdmRkc7-wKp2x494wJXKZaKyaWE/edit?usp=drivesdk"",""3830!Z2"")"),48.0)</f>
        <v>48</v>
      </c>
      <c r="I144" s="128">
        <f>IFERROR(__xludf.DUMMYFUNCTION("IMPORTRANGE(""https://docs.google.com/spreadsheets/d/1DP4qPAi-kFl5WNfDx48jC0sBkEBYiUD9mmjsu-SE6aQ/edit?usp=drivesdk"",""3830!Z2"")"),27.0)</f>
        <v>27</v>
      </c>
      <c r="J144" s="128">
        <f>IFERROR(__xludf.DUMMYFUNCTION("IMPORTRANGE(""https://docs.google.com/spreadsheets/d/1fLxjJj2aUARqretaKi-EiflYh-8Z8twBzy22tl-i0Dg/edit?usp=drivesdk"",""3830!Z2"")"),0.0)</f>
        <v>0</v>
      </c>
      <c r="K144" s="128">
        <f>IFERROR(__xludf.DUMMYFUNCTION("IMPORTRANGE(""https://docs.google.com/spreadsheets/d/1Bv-wBw4Oqdap8zRv7KGVkW3XauvLaU-_gtnmzdrt5SI/edit?usp=drivesdk"",""3830!Z2"")"),0.0)</f>
        <v>0</v>
      </c>
      <c r="L144" s="128">
        <f>IFERROR(__xludf.DUMMYFUNCTION("IMPORTRANGE(""https://docs.google.com/spreadsheets/d/1UxNeQMFFy4z9g7Y-MDrnJW1SwlaR4iRgB934VavfMuc/edit?usp=drivesdk"",""3830!Z2"")"),0.0)</f>
        <v>0</v>
      </c>
      <c r="M144" s="128">
        <f>IFERROR(__xludf.DUMMYFUNCTION("IMPORTRANGE(""https://docs.google.com/spreadsheets/d/1qWYgiCDAe3aXYeZUMGW6S-sTxbJKVv8dgq2XAtCE2bo/edit?usp=drivesdk"",""3830!Z2"")"),0.0)</f>
        <v>0</v>
      </c>
      <c r="N144" s="135"/>
      <c r="O144" s="41">
        <f t="shared" si="3"/>
        <v>131</v>
      </c>
      <c r="P144" s="44"/>
      <c r="Q144" s="104"/>
      <c r="R144" s="108"/>
      <c r="S144" s="108"/>
      <c r="T144" s="104"/>
      <c r="U144" s="47">
        <f t="shared" si="4"/>
        <v>98</v>
      </c>
      <c r="V144" s="104"/>
      <c r="W144" s="104"/>
      <c r="X144" s="136"/>
      <c r="Y144" s="138">
        <v>98.0</v>
      </c>
      <c r="Z144" s="133"/>
    </row>
    <row r="145">
      <c r="B145" s="53">
        <v>6703831.0</v>
      </c>
      <c r="C145" s="124" t="s">
        <v>324</v>
      </c>
      <c r="D145" s="43" t="s">
        <v>29</v>
      </c>
      <c r="E145" s="134" t="s">
        <v>325</v>
      </c>
      <c r="F145" s="33">
        <f>IFERROR(__xludf.DUMMYFUNCTION("IMPORTRANGE(""https://docs.google.com/spreadsheets/d/1mkXiGqjbNtqvOEWZzNFByz5W39tvmCidNg1Wc2fuxd8/edit?usp=drivesdk"",""3830!Z2"")"),0.0)</f>
        <v>0</v>
      </c>
      <c r="G145" s="127">
        <f>IFERROR(__xludf.DUMMYFUNCTION("IMPORTRANGE(""https://docs.google.com/spreadsheets/d/13et8RWBJNlvkYNcpjdmRkc7-wKp2x494wJXKZaKyaWE/edit?usp=drivesdk"",""3831!Z2"")"),32.0)</f>
        <v>32</v>
      </c>
      <c r="H145" s="128">
        <f>IFERROR(__xludf.DUMMYFUNCTION("IMPORTRANGE(""https://docs.google.com/spreadsheets/d/13et8RWBJNlvkYNcpjdmRkc7-wKp2x494wJXKZaKyaWE/edit?usp=drivesdk"",""3831!Z2"")"),32.0)</f>
        <v>32</v>
      </c>
      <c r="I145" s="128">
        <f>IFERROR(__xludf.DUMMYFUNCTION("IMPORTRANGE(""https://docs.google.com/spreadsheets/d/1fLxjJj2aUARqretaKi-EiflYh-8Z8twBzy22tl-i0Dg/edit?gid=0#gid=0"",""3831!Z2"")"),0.0)</f>
        <v>0</v>
      </c>
      <c r="J145" s="128">
        <f>IFERROR(__xludf.DUMMYFUNCTION("IMPORTRANGE(""https://docs.google.com/spreadsheets/d/1fLxjJj2aUARqretaKi-EiflYh-8Z8twBzy22tl-i0Dg/edit?usp=drivesdk"",""3831!Z2"")"),0.0)</f>
        <v>0</v>
      </c>
      <c r="K145" s="128">
        <f>IFERROR(__xludf.DUMMYFUNCTION("IMPORTRANGE(""https://docs.google.com/spreadsheets/d/1Bv-wBw4Oqdap8zRv7KGVkW3XauvLaU-_gtnmzdrt5SI/edit?usp=drivesdk"",""3831!Z2"")"),0.0)</f>
        <v>0</v>
      </c>
      <c r="L145" s="128">
        <f>IFERROR(__xludf.DUMMYFUNCTION("IMPORTRANGE(""https://docs.google.com/spreadsheets/d/1UxNeQMFFy4z9g7Y-MDrnJW1SwlaR4iRgB934VavfMuc/edit?usp=drivesdk"",""3831!Z2"")"),0.0)</f>
        <v>0</v>
      </c>
      <c r="M145" s="128">
        <f>IFERROR(__xludf.DUMMYFUNCTION("IMPORTRANGE(""https://docs.google.com/spreadsheets/d/1qWYgiCDAe3aXYeZUMGW6S-sTxbJKVv8dgq2XAtCE2bo/edit?usp=drivesdk"",""3831!Z2"")"),0.0)</f>
        <v>0</v>
      </c>
      <c r="N145" s="135"/>
      <c r="O145" s="41">
        <f t="shared" si="3"/>
        <v>64</v>
      </c>
      <c r="P145" s="44"/>
      <c r="Q145" s="104"/>
      <c r="R145" s="108"/>
      <c r="S145" s="108"/>
      <c r="T145" s="104"/>
      <c r="U145" s="47">
        <f t="shared" si="4"/>
        <v>56</v>
      </c>
      <c r="V145" s="104"/>
      <c r="W145" s="104"/>
      <c r="X145" s="136"/>
      <c r="Y145" s="138">
        <v>56.0</v>
      </c>
      <c r="Z145" s="133"/>
    </row>
    <row r="146">
      <c r="B146" s="53">
        <v>6703832.0</v>
      </c>
      <c r="C146" s="124" t="s">
        <v>326</v>
      </c>
      <c r="D146" s="43" t="s">
        <v>29</v>
      </c>
      <c r="E146" s="134" t="s">
        <v>327</v>
      </c>
      <c r="F146" s="33">
        <f>IFERROR(__xludf.DUMMYFUNCTION("IMPORTRANGE(""https://docs.google.com/spreadsheets/d/1mkXiGqjbNtqvOEWZzNFByz5W39tvmCidNg1Wc2fuxd8/edit?usp=drivesdk"",""3832!Z2"")"),8.0)</f>
        <v>8</v>
      </c>
      <c r="G146" s="127">
        <f>IFERROR(__xludf.DUMMYFUNCTION("IMPORTRANGE(""https://docs.google.com/spreadsheets/d/13et8RWBJNlvkYNcpjdmRkc7-wKp2x494wJXKZaKyaWE/edit?usp=drivesdk"",""3832!Z2"")"),24.0)</f>
        <v>24</v>
      </c>
      <c r="H146" s="128">
        <f>IFERROR(__xludf.DUMMYFUNCTION("IMPORTRANGE(""https://docs.google.com/spreadsheets/d/13et8RWBJNlvkYNcpjdmRkc7-wKp2x494wJXKZaKyaWE/edit?usp=drivesdk"",""3832!Z2"")"),24.0)</f>
        <v>24</v>
      </c>
      <c r="I146" s="128">
        <f>IFERROR(__xludf.DUMMYFUNCTION("IMPORTRANGE(""https://docs.google.com/spreadsheets/d/1fLxjJj2aUARqretaKi-EiflYh-8Z8twBzy22tl-i0Dg/edit?gid=0#gid=0"",""3832!Z2"")"),0.0)</f>
        <v>0</v>
      </c>
      <c r="J146" s="128">
        <f>IFERROR(__xludf.DUMMYFUNCTION("IMPORTRANGE(""https://docs.google.com/spreadsheets/d/1fLxjJj2aUARqretaKi-EiflYh-8Z8twBzy22tl-i0Dg/edit?usp=drivesdk"",""3832!Z2"")"),0.0)</f>
        <v>0</v>
      </c>
      <c r="K146" s="128">
        <f>IFERROR(__xludf.DUMMYFUNCTION("IMPORTRANGE(""https://docs.google.com/spreadsheets/d/1Bv-wBw4Oqdap8zRv7KGVkW3XauvLaU-_gtnmzdrt5SI/edit?usp=drivesdk"",""3832!Z2"")"),8.0)</f>
        <v>8</v>
      </c>
      <c r="L146" s="128">
        <f>IFERROR(__xludf.DUMMYFUNCTION("IMPORTRANGE(""https://docs.google.com/spreadsheets/d/1UxNeQMFFy4z9g7Y-MDrnJW1SwlaR4iRgB934VavfMuc/edit?usp=drivesdk"",""3832!Z2"")"),0.0)</f>
        <v>0</v>
      </c>
      <c r="M146" s="128">
        <f>IFERROR(__xludf.DUMMYFUNCTION("IMPORTRANGE(""https://docs.google.com/spreadsheets/d/1qWYgiCDAe3aXYeZUMGW6S-sTxbJKVv8dgq2XAtCE2bo/edit?usp=drivesdk"",""3832!Z2"")"),0.0)</f>
        <v>0</v>
      </c>
      <c r="N146" s="135"/>
      <c r="O146" s="41">
        <f t="shared" si="3"/>
        <v>64</v>
      </c>
      <c r="P146" s="44"/>
      <c r="Q146" s="104"/>
      <c r="R146" s="108"/>
      <c r="S146" s="108"/>
      <c r="T146" s="104"/>
      <c r="U146" s="47">
        <f t="shared" si="4"/>
        <v>63</v>
      </c>
      <c r="V146" s="104"/>
      <c r="W146" s="104"/>
      <c r="X146" s="136"/>
      <c r="Y146" s="138">
        <v>63.0</v>
      </c>
      <c r="Z146" s="133"/>
    </row>
    <row r="147">
      <c r="B147" s="53">
        <v>6703833.0</v>
      </c>
      <c r="C147" s="124" t="s">
        <v>328</v>
      </c>
      <c r="D147" s="43" t="s">
        <v>29</v>
      </c>
      <c r="E147" s="134" t="s">
        <v>329</v>
      </c>
      <c r="F147" s="33">
        <f>IFERROR(__xludf.DUMMYFUNCTION("IMPORTRANGE(""https://docs.google.com/spreadsheets/d/1mkXiGqjbNtqvOEWZzNFByz5W39tvmCidNg1Wc2fuxd8/edit?usp=drivesdk"",""3824!Z2"")"),8.0)</f>
        <v>8</v>
      </c>
      <c r="G147" s="127">
        <f>IFERROR(__xludf.DUMMYFUNCTION("IMPORTRANGE(""https://docs.google.com/spreadsheets/d/13et8RWBJNlvkYNcpjdmRkc7-wKp2x494wJXKZaKyaWE/edit?usp=drivesdk"",""3833!Z2"")"),32.0)</f>
        <v>32</v>
      </c>
      <c r="H147" s="128">
        <f>IFERROR(__xludf.DUMMYFUNCTION("IMPORTRANGE(""https://docs.google.com/spreadsheets/d/13et8RWBJNlvkYNcpjdmRkc7-wKp2x494wJXKZaKyaWE/edit?usp=drivesdk"",""3833!Z2"")"),32.0)</f>
        <v>32</v>
      </c>
      <c r="I147" s="128">
        <f>IFERROR(__xludf.DUMMYFUNCTION("IMPORTRANGE(""https://docs.google.com/spreadsheets/d/1fLxjJj2aUARqretaKi-EiflYh-8Z8twBzy22tl-i0Dg/edit?gid=0#gid=0"",""3832!Z2"")"),0.0)</f>
        <v>0</v>
      </c>
      <c r="J147" s="128">
        <f>IFERROR(__xludf.DUMMYFUNCTION("IMPORTRANGE(""https://docs.google.com/spreadsheets/d/1fLxjJj2aUARqretaKi-EiflYh-8Z8twBzy22tl-i0Dg/edit?usp=drivesdk"",""3833!Z2"")"),0.0)</f>
        <v>0</v>
      </c>
      <c r="K147" s="128">
        <f>IFERROR(__xludf.DUMMYFUNCTION("IMPORTRANGE(""https://docs.google.com/spreadsheets/d/1Bv-wBw4Oqdap8zRv7KGVkW3XauvLaU-_gtnmzdrt5SI/edit?usp=drivesdk"",""3833!Z2"")"),0.0)</f>
        <v>0</v>
      </c>
      <c r="L147" s="128">
        <f>IFERROR(__xludf.DUMMYFUNCTION("IMPORTRANGE(""https://docs.google.com/spreadsheets/d/1UxNeQMFFy4z9g7Y-MDrnJW1SwlaR4iRgB934VavfMuc/edit?usp=drivesdk"",""3833!Z2"")"),0.0)</f>
        <v>0</v>
      </c>
      <c r="M147" s="128">
        <f>IFERROR(__xludf.DUMMYFUNCTION("IMPORTRANGE(""https://docs.google.com/spreadsheets/d/1qWYgiCDAe3aXYeZUMGW6S-sTxbJKVv8dgq2XAtCE2bo/edit?usp=drivesdk"",""3833!Z2"")"),0.0)</f>
        <v>0</v>
      </c>
      <c r="N147" s="135"/>
      <c r="O147" s="41">
        <f t="shared" si="3"/>
        <v>112</v>
      </c>
      <c r="P147" s="59" t="s">
        <v>42</v>
      </c>
      <c r="Q147" s="104"/>
      <c r="R147" s="108"/>
      <c r="S147" s="108">
        <v>40.0</v>
      </c>
      <c r="T147" s="104"/>
      <c r="U147" s="47">
        <f t="shared" si="4"/>
        <v>96</v>
      </c>
      <c r="V147" s="104"/>
      <c r="W147" s="104"/>
      <c r="X147" s="136"/>
      <c r="Y147" s="132">
        <v>96.0</v>
      </c>
      <c r="Z147" s="133"/>
    </row>
    <row r="148">
      <c r="B148" s="53">
        <v>6703834.0</v>
      </c>
      <c r="C148" s="124" t="s">
        <v>330</v>
      </c>
      <c r="D148" s="43" t="s">
        <v>29</v>
      </c>
      <c r="E148" s="134" t="s">
        <v>331</v>
      </c>
      <c r="F148" s="33">
        <f>IFERROR(__xludf.DUMMYFUNCTION("IMPORTRANGE(""https://docs.google.com/spreadsheets/d/1mkXiGqjbNtqvOEWZzNFByz5W39tvmCidNg1Wc2fuxd8/edit?usp=drivesdk"",""3834!Z2"")"),0.0)</f>
        <v>0</v>
      </c>
      <c r="G148" s="127">
        <f>IFERROR(__xludf.DUMMYFUNCTION("IMPORTRANGE(""https://docs.google.com/spreadsheets/d/13et8RWBJNlvkYNcpjdmRkc7-wKp2x494wJXKZaKyaWE/edit?usp=drivesdk"",""3834!Z2"")"),194.0)</f>
        <v>194</v>
      </c>
      <c r="H148" s="128">
        <f>IFERROR(__xludf.DUMMYFUNCTION("IMPORTRANGE(""https://docs.google.com/spreadsheets/d/13et8RWBJNlvkYNcpjdmRkc7-wKp2x494wJXKZaKyaWE/edit?usp=drivesdk"",""3834!Z2"")"),194.0)</f>
        <v>194</v>
      </c>
      <c r="I148" s="128">
        <f>IFERROR(__xludf.DUMMYFUNCTION("IMPORTRANGE(""https://docs.google.com/spreadsheets/d/1fLxjJj2aUARqretaKi-EiflYh-8Z8twBzy22tl-i0Dg/edit?gid=0#gid=0"",""3834!Z2"")"),0.0)</f>
        <v>0</v>
      </c>
      <c r="J148" s="128">
        <f>IFERROR(__xludf.DUMMYFUNCTION("IMPORTRANGE(""https://docs.google.com/spreadsheets/d/1fLxjJj2aUARqretaKi-EiflYh-8Z8twBzy22tl-i0Dg/edit?usp=drivesdk"",""3834!Z2"")"),0.0)</f>
        <v>0</v>
      </c>
      <c r="K148" s="128">
        <f>IFERROR(__xludf.DUMMYFUNCTION("IMPORTRANGE(""https://docs.google.com/spreadsheets/d/1Bv-wBw4Oqdap8zRv7KGVkW3XauvLaU-_gtnmzdrt5SI/edit?usp=drivesdk"",""3834!Z2"")"),0.0)</f>
        <v>0</v>
      </c>
      <c r="L148" s="128">
        <f>IFERROR(__xludf.DUMMYFUNCTION("IMPORTRANGE(""https://docs.google.com/spreadsheets/d/1UxNeQMFFy4z9g7Y-MDrnJW1SwlaR4iRgB934VavfMuc/edit?usp=drivesdk"",""3834!Z2"")"),0.0)</f>
        <v>0</v>
      </c>
      <c r="M148" s="128">
        <f>IFERROR(__xludf.DUMMYFUNCTION("IMPORTRANGE(""https://docs.google.com/spreadsheets/d/1qWYgiCDAe3aXYeZUMGW6S-sTxbJKVv8dgq2XAtCE2bo/edit?usp=drivesdk"",""3834!Z2"")"),1.0)</f>
        <v>1</v>
      </c>
      <c r="N148" s="135"/>
      <c r="O148" s="41">
        <f t="shared" si="3"/>
        <v>429</v>
      </c>
      <c r="P148" s="59" t="s">
        <v>332</v>
      </c>
      <c r="Q148" s="104"/>
      <c r="R148" s="108"/>
      <c r="S148" s="108">
        <v>40.0</v>
      </c>
      <c r="T148" s="104"/>
      <c r="U148" s="47">
        <f t="shared" si="4"/>
        <v>133</v>
      </c>
      <c r="V148" s="104"/>
      <c r="W148" s="104"/>
      <c r="X148" s="136"/>
      <c r="Y148" s="139">
        <v>133.0</v>
      </c>
      <c r="Z148" s="133"/>
    </row>
    <row r="149">
      <c r="B149" s="53">
        <v>6703835.0</v>
      </c>
      <c r="C149" s="124" t="s">
        <v>333</v>
      </c>
      <c r="D149" s="43" t="s">
        <v>29</v>
      </c>
      <c r="E149" s="134" t="s">
        <v>334</v>
      </c>
      <c r="F149" s="33">
        <f>IFERROR(__xludf.DUMMYFUNCTION("IMPORTRANGE(""https://docs.google.com/spreadsheets/d/1mkXiGqjbNtqvOEWZzNFByz5W39tvmCidNg1Wc2fuxd8/edit?usp=drivesdk"",""3835!Z2"")"),0.0)</f>
        <v>0</v>
      </c>
      <c r="G149" s="127">
        <f>IFERROR(__xludf.DUMMYFUNCTION("IMPORTRANGE(""https://docs.google.com/spreadsheets/d/13et8RWBJNlvkYNcpjdmRkc7-wKp2x494wJXKZaKyaWE/edit?usp=drivesdk"",""3835!Z2"")"),52.0)</f>
        <v>52</v>
      </c>
      <c r="H149" s="128">
        <f>IFERROR(__xludf.DUMMYFUNCTION("IMPORTRANGE(""https://docs.google.com/spreadsheets/d/13et8RWBJNlvkYNcpjdmRkc7-wKp2x494wJXKZaKyaWE/edit?usp=drivesdk"",""3835!Z2"")"),52.0)</f>
        <v>52</v>
      </c>
      <c r="I149" s="128">
        <f>IFERROR(__xludf.DUMMYFUNCTION("IMPORTRANGE(""https://docs.google.com/spreadsheets/d/1fLxjJj2aUARqretaKi-EiflYh-8Z8twBzy22tl-i0Dg/edit?gid=0#gid=0"",""3835!Z2"")"),0.0)</f>
        <v>0</v>
      </c>
      <c r="J149" s="128">
        <f>IFERROR(__xludf.DUMMYFUNCTION("IMPORTRANGE(""https://docs.google.com/spreadsheets/d/1fLxjJj2aUARqretaKi-EiflYh-8Z8twBzy22tl-i0Dg/edit?usp=drivesdk"",""3835!Z2"")"),0.0)</f>
        <v>0</v>
      </c>
      <c r="K149" s="128">
        <f>IFERROR(__xludf.DUMMYFUNCTION("IMPORTRANGE(""https://docs.google.com/spreadsheets/d/1Bv-wBw4Oqdap8zRv7KGVkW3XauvLaU-_gtnmzdrt5SI/edit?usp=drivesdk"",""3835!Z2"")"),0.0)</f>
        <v>0</v>
      </c>
      <c r="L149" s="128">
        <f>IFERROR(__xludf.DUMMYFUNCTION("IMPORTRANGE(""https://docs.google.com/spreadsheets/d/1UxNeQMFFy4z9g7Y-MDrnJW1SwlaR4iRgB934VavfMuc/edit?usp=drivesdk"",""3835!Z2"")"),0.0)</f>
        <v>0</v>
      </c>
      <c r="M149" s="128">
        <f>IFERROR(__xludf.DUMMYFUNCTION("IMPORTRANGE(""https://docs.google.com/spreadsheets/d/1qWYgiCDAe3aXYeZUMGW6S-sTxbJKVv8dgq2XAtCE2bo/edit?usp=drivesdk"",""3835!Z2"")"),4.0)</f>
        <v>4</v>
      </c>
      <c r="N149" s="135"/>
      <c r="O149" s="41">
        <f t="shared" si="3"/>
        <v>108</v>
      </c>
      <c r="P149" s="44"/>
      <c r="Q149" s="104"/>
      <c r="R149" s="108"/>
      <c r="S149" s="108"/>
      <c r="T149" s="104"/>
      <c r="U149" s="47">
        <f t="shared" si="4"/>
        <v>69</v>
      </c>
      <c r="V149" s="104"/>
      <c r="W149" s="104"/>
      <c r="X149" s="136"/>
      <c r="Y149" s="138">
        <v>69.0</v>
      </c>
      <c r="Z149" s="133"/>
    </row>
    <row r="150">
      <c r="B150" s="53">
        <v>6703836.0</v>
      </c>
      <c r="C150" s="124" t="s">
        <v>335</v>
      </c>
      <c r="D150" s="43" t="s">
        <v>29</v>
      </c>
      <c r="E150" s="134" t="s">
        <v>336</v>
      </c>
      <c r="F150" s="33">
        <f>IFERROR(__xludf.DUMMYFUNCTION("IMPORTRANGE(""https://docs.google.com/spreadsheets/d/1mkXiGqjbNtqvOEWZzNFByz5W39tvmCidNg1Wc2fuxd8/edit?usp=drivesdk"",""3836!Z2"")"),0.0)</f>
        <v>0</v>
      </c>
      <c r="G150" s="127">
        <f>IFERROR(__xludf.DUMMYFUNCTION("IMPORTRANGE(""https://docs.google.com/spreadsheets/d/13et8RWBJNlvkYNcpjdmRkc7-wKp2x494wJXKZaKyaWE/edit?usp=drivesdk"",""3836!Z2"")"),40.0)</f>
        <v>40</v>
      </c>
      <c r="H150" s="128">
        <f>IFERROR(__xludf.DUMMYFUNCTION("IMPORTRANGE(""https://docs.google.com/spreadsheets/d/13et8RWBJNlvkYNcpjdmRkc7-wKp2x494wJXKZaKyaWE/edit?usp=drivesdk"",""3836!Z2"")"),40.0)</f>
        <v>40</v>
      </c>
      <c r="I150" s="128">
        <f>IFERROR(__xludf.DUMMYFUNCTION("IMPORTRANGE(""https://docs.google.com/spreadsheets/d/1fLxjJj2aUARqretaKi-EiflYh-8Z8twBzy22tl-i0Dg/edit?gid=0#gid=0"",""3836!Z2"")"),0.0)</f>
        <v>0</v>
      </c>
      <c r="J150" s="128">
        <f>IFERROR(__xludf.DUMMYFUNCTION("IMPORTRANGE(""https://docs.google.com/spreadsheets/d/1fLxjJj2aUARqretaKi-EiflYh-8Z8twBzy22tl-i0Dg/edit?usp=drivesdk"",""3836!Z2"")"),0.0)</f>
        <v>0</v>
      </c>
      <c r="K150" s="128">
        <f>IFERROR(__xludf.DUMMYFUNCTION("IMPORTRANGE(""https://docs.google.com/spreadsheets/d/1Bv-wBw4Oqdap8zRv7KGVkW3XauvLaU-_gtnmzdrt5SI/edit?usp=drivesdk"",""3836!Z2"")"),0.0)</f>
        <v>0</v>
      </c>
      <c r="L150" s="128">
        <f>IFERROR(__xludf.DUMMYFUNCTION("IMPORTRANGE(""https://docs.google.com/spreadsheets/d/1UxNeQMFFy4z9g7Y-MDrnJW1SwlaR4iRgB934VavfMuc/edit?usp=drivesdk"",""3836!Z2"")"),0.0)</f>
        <v>0</v>
      </c>
      <c r="M150" s="128">
        <f>IFERROR(__xludf.DUMMYFUNCTION("IMPORTRANGE(""https://docs.google.com/spreadsheets/d/1qWYgiCDAe3aXYeZUMGW6S-sTxbJKVv8dgq2XAtCE2bo/edit?usp=drivesdk"",""3836!Z2"")"),0.0)</f>
        <v>0</v>
      </c>
      <c r="N150" s="135"/>
      <c r="O150" s="41">
        <f t="shared" si="3"/>
        <v>80</v>
      </c>
      <c r="P150" s="44"/>
      <c r="Q150" s="104"/>
      <c r="R150" s="108"/>
      <c r="S150" s="108"/>
      <c r="T150" s="104"/>
      <c r="U150" s="47">
        <f t="shared" si="4"/>
        <v>92</v>
      </c>
      <c r="V150" s="104"/>
      <c r="W150" s="104"/>
      <c r="X150" s="136"/>
      <c r="Y150" s="138">
        <v>92.0</v>
      </c>
      <c r="Z150" s="133"/>
    </row>
    <row r="151">
      <c r="B151" s="53">
        <v>6703837.0</v>
      </c>
      <c r="C151" s="124" t="s">
        <v>337</v>
      </c>
      <c r="D151" s="43" t="s">
        <v>29</v>
      </c>
      <c r="E151" s="134" t="s">
        <v>338</v>
      </c>
      <c r="F151" s="33">
        <f>IFERROR(__xludf.DUMMYFUNCTION("IMPORTRANGE(""https://docs.google.com/spreadsheets/d/1mkXiGqjbNtqvOEWZzNFByz5W39tvmCidNg1Wc2fuxd8/edit?usp=drivesdk"",""3837!Z2"")"),0.0)</f>
        <v>0</v>
      </c>
      <c r="G151" s="127">
        <f>IFERROR(__xludf.DUMMYFUNCTION("IMPORTRANGE(""https://docs.google.com/spreadsheets/d/13et8RWBJNlvkYNcpjdmRkc7-wKp2x494wJXKZaKyaWE/edit?usp=drivesdk"",""3837!Z2"")"),20.0)</f>
        <v>20</v>
      </c>
      <c r="H151" s="128">
        <f>IFERROR(__xludf.DUMMYFUNCTION("IMPORTRANGE(""https://docs.google.com/spreadsheets/d/13et8RWBJNlvkYNcpjdmRkc7-wKp2x494wJXKZaKyaWE/edit?usp=drivesdk"",""3837!Z2"")"),20.0)</f>
        <v>20</v>
      </c>
      <c r="I151" s="128">
        <f>IFERROR(__xludf.DUMMYFUNCTION("IMPORTRANGE(""https://docs.google.com/spreadsheets/d/1fLxjJj2aUARqretaKi-EiflYh-8Z8twBzy22tl-i0Dg/edit?gid=0#gid=0"",""3837!Z2"")"),0.0)</f>
        <v>0</v>
      </c>
      <c r="J151" s="128">
        <f>IFERROR(__xludf.DUMMYFUNCTION("IMPORTRANGE(""https://docs.google.com/spreadsheets/d/1fLxjJj2aUARqretaKi-EiflYh-8Z8twBzy22tl-i0Dg/edit?usp=drivesdk"",""3837!Z2"")"),0.0)</f>
        <v>0</v>
      </c>
      <c r="K151" s="128">
        <f>IFERROR(__xludf.DUMMYFUNCTION("IMPORTRANGE(""https://docs.google.com/spreadsheets/d/1Bv-wBw4Oqdap8zRv7KGVkW3XauvLaU-_gtnmzdrt5SI/edit?usp=drivesdk"",""3837!Z2"")"),0.0)</f>
        <v>0</v>
      </c>
      <c r="L151" s="128">
        <f>IFERROR(__xludf.DUMMYFUNCTION("IMPORTRANGE(""https://docs.google.com/spreadsheets/d/1UxNeQMFFy4z9g7Y-MDrnJW1SwlaR4iRgB934VavfMuc/edit?usp=drivesdk"",""3837!Z2"")"),0.0)</f>
        <v>0</v>
      </c>
      <c r="M151" s="128">
        <f>IFERROR(__xludf.DUMMYFUNCTION("IMPORTRANGE(""https://docs.google.com/spreadsheets/d/1qWYgiCDAe3aXYeZUMGW6S-sTxbJKVv8dgq2XAtCE2bo/edit?usp=drivesdk"",""3837!Z2"")"),0.0)</f>
        <v>0</v>
      </c>
      <c r="N151" s="135"/>
      <c r="O151" s="41">
        <f t="shared" si="3"/>
        <v>40</v>
      </c>
      <c r="P151" s="44"/>
      <c r="Q151" s="104"/>
      <c r="R151" s="108"/>
      <c r="S151" s="108"/>
      <c r="T151" s="104"/>
      <c r="U151" s="47">
        <f t="shared" si="4"/>
        <v>123</v>
      </c>
      <c r="V151" s="104"/>
      <c r="W151" s="104"/>
      <c r="X151" s="136"/>
      <c r="Y151" s="138">
        <v>123.0</v>
      </c>
      <c r="Z151" s="133"/>
    </row>
    <row r="152">
      <c r="B152" s="53">
        <v>6703838.0</v>
      </c>
      <c r="C152" s="124" t="s">
        <v>339</v>
      </c>
      <c r="D152" s="43" t="s">
        <v>29</v>
      </c>
      <c r="E152" s="134" t="s">
        <v>340</v>
      </c>
      <c r="F152" s="33">
        <f>IFERROR(__xludf.DUMMYFUNCTION("IMPORTRANGE(""https://docs.google.com/spreadsheets/d/1mkXiGqjbNtqvOEWZzNFByz5W39tvmCidNg1Wc2fuxd8/edit?usp=drivesdk"",""3838!Z2"")"),0.0)</f>
        <v>0</v>
      </c>
      <c r="G152" s="127">
        <f>IFERROR(__xludf.DUMMYFUNCTION("IMPORTRANGE(""https://docs.google.com/spreadsheets/d/13et8RWBJNlvkYNcpjdmRkc7-wKp2x494wJXKZaKyaWE/edit?usp=drivesdk"",""3838!Z2"")"),35.0)</f>
        <v>35</v>
      </c>
      <c r="H152" s="128">
        <f>IFERROR(__xludf.DUMMYFUNCTION("IMPORTRANGE(""https://docs.google.com/spreadsheets/d/13et8RWBJNlvkYNcpjdmRkc7-wKp2x494wJXKZaKyaWE/edit?usp=drivesdk"",""3838!Z2"")"),35.0)</f>
        <v>35</v>
      </c>
      <c r="I152" s="128">
        <f>IFERROR(__xludf.DUMMYFUNCTION("IMPORTRANGE(""https://docs.google.com/spreadsheets/d/1fLxjJj2aUARqretaKi-EiflYh-8Z8twBzy22tl-i0Dg/edit?gid=0#gid=0"",""3838!Z2"")"),0.0)</f>
        <v>0</v>
      </c>
      <c r="J152" s="128">
        <f>IFERROR(__xludf.DUMMYFUNCTION("IMPORTRANGE(""https://docs.google.com/spreadsheets/d/1fLxjJj2aUARqretaKi-EiflYh-8Z8twBzy22tl-i0Dg/edit?usp=drivesdk"",""3838!Z2"")"),0.0)</f>
        <v>0</v>
      </c>
      <c r="K152" s="128">
        <f>IFERROR(__xludf.DUMMYFUNCTION("IMPORTRANGE(""https://docs.google.com/spreadsheets/d/1Bv-wBw4Oqdap8zRv7KGVkW3XauvLaU-_gtnmzdrt5SI/edit?usp=drivesdk"",""3838!Z2"")"),0.0)</f>
        <v>0</v>
      </c>
      <c r="L152" s="128">
        <f>IFERROR(__xludf.DUMMYFUNCTION("IMPORTRANGE(""https://docs.google.com/spreadsheets/d/1UxNeQMFFy4z9g7Y-MDrnJW1SwlaR4iRgB934VavfMuc/edit?usp=drivesdk"",""3838!Z2"")"),0.0)</f>
        <v>0</v>
      </c>
      <c r="M152" s="128">
        <f>IFERROR(__xludf.DUMMYFUNCTION("IMPORTRANGE(""https://docs.google.com/spreadsheets/d/1qWYgiCDAe3aXYeZUMGW6S-sTxbJKVv8dgq2XAtCE2bo/edit?usp=drivesdk"",""3838!Z2"")"),0.0)</f>
        <v>0</v>
      </c>
      <c r="N152" s="135"/>
      <c r="O152" s="41">
        <f t="shared" si="3"/>
        <v>70</v>
      </c>
      <c r="P152" s="44"/>
      <c r="Q152" s="104"/>
      <c r="R152" s="108"/>
      <c r="S152" s="108"/>
      <c r="T152" s="104"/>
      <c r="U152" s="47">
        <f t="shared" si="4"/>
        <v>55</v>
      </c>
      <c r="V152" s="104"/>
      <c r="W152" s="104"/>
      <c r="X152" s="136"/>
      <c r="Y152" s="138">
        <v>55.0</v>
      </c>
      <c r="Z152" s="133"/>
    </row>
    <row r="153">
      <c r="B153" s="53">
        <v>6703839.0</v>
      </c>
      <c r="C153" s="124" t="s">
        <v>341</v>
      </c>
      <c r="D153" s="43" t="s">
        <v>29</v>
      </c>
      <c r="E153" s="134" t="s">
        <v>342</v>
      </c>
      <c r="F153" s="33">
        <f>IFERROR(__xludf.DUMMYFUNCTION("IMPORTRANGE(""https://docs.google.com/spreadsheets/d/1mkXiGqjbNtqvOEWZzNFByz5W39tvmCidNg1Wc2fuxd8/edit?usp=drivesdk"",""3839!Z2"")"),0.0)</f>
        <v>0</v>
      </c>
      <c r="G153" s="127">
        <f>IFERROR(__xludf.DUMMYFUNCTION("IMPORTRANGE(""https://docs.google.com/spreadsheets/d/13et8RWBJNlvkYNcpjdmRkc7-wKp2x494wJXKZaKyaWE/edit?usp=drivesdk"",""3839!Z2"")"),60.0)</f>
        <v>60</v>
      </c>
      <c r="H153" s="128">
        <f>IFERROR(__xludf.DUMMYFUNCTION("IMPORTRANGE(""https://docs.google.com/spreadsheets/d/13et8RWBJNlvkYNcpjdmRkc7-wKp2x494wJXKZaKyaWE/edit?usp=drivesdk"",""3839!Z2"")"),60.0)</f>
        <v>60</v>
      </c>
      <c r="I153" s="128">
        <f>IFERROR(__xludf.DUMMYFUNCTION("IMPORTRANGE(""https://docs.google.com/spreadsheets/d/1fLxjJj2aUARqretaKi-EiflYh-8Z8twBzy22tl-i0Dg/edit?gid=0#gid=0"",""3839!Z2"")"),0.0)</f>
        <v>0</v>
      </c>
      <c r="J153" s="128">
        <f>IFERROR(__xludf.DUMMYFUNCTION("IMPORTRANGE(""https://docs.google.com/spreadsheets/d/1fLxjJj2aUARqretaKi-EiflYh-8Z8twBzy22tl-i0Dg/edit?usp=drivesdk"",""3839!Z2"")"),0.0)</f>
        <v>0</v>
      </c>
      <c r="K153" s="128">
        <f>IFERROR(__xludf.DUMMYFUNCTION("IMPORTRANGE(""https://docs.google.com/spreadsheets/d/1Bv-wBw4Oqdap8zRv7KGVkW3XauvLaU-_gtnmzdrt5SI/edit?usp=drivesdk"",""3839!Z2"")"),0.0)</f>
        <v>0</v>
      </c>
      <c r="L153" s="128">
        <f>IFERROR(__xludf.DUMMYFUNCTION("IMPORTRANGE(""https://docs.google.com/spreadsheets/d/1UxNeQMFFy4z9g7Y-MDrnJW1SwlaR4iRgB934VavfMuc/edit?usp=drivesdk"",""3839!Z2"")"),0.0)</f>
        <v>0</v>
      </c>
      <c r="M153" s="128">
        <f>IFERROR(__xludf.DUMMYFUNCTION("IMPORTRANGE(""https://docs.google.com/spreadsheets/d/1qWYgiCDAe3aXYeZUMGW6S-sTxbJKVv8dgq2XAtCE2bo/edit?usp=drivesdk"",""3839!Z2"")"),0.0)</f>
        <v>0</v>
      </c>
      <c r="N153" s="135"/>
      <c r="O153" s="41">
        <f t="shared" si="3"/>
        <v>120</v>
      </c>
      <c r="P153" s="44"/>
      <c r="Q153" s="104"/>
      <c r="R153" s="108"/>
      <c r="S153" s="108"/>
      <c r="T153" s="104"/>
      <c r="U153" s="47">
        <f t="shared" si="4"/>
        <v>117</v>
      </c>
      <c r="V153" s="104"/>
      <c r="W153" s="104"/>
      <c r="X153" s="136"/>
      <c r="Y153" s="138">
        <v>117.0</v>
      </c>
      <c r="Z153" s="133"/>
    </row>
    <row r="154">
      <c r="B154" s="140">
        <v>6703840.0</v>
      </c>
      <c r="C154" s="141" t="s">
        <v>343</v>
      </c>
      <c r="D154" s="142" t="s">
        <v>29</v>
      </c>
      <c r="E154" s="143" t="s">
        <v>344</v>
      </c>
      <c r="F154" s="144"/>
      <c r="G154" s="145"/>
      <c r="H154" s="146"/>
      <c r="I154" s="147"/>
      <c r="J154" s="146"/>
      <c r="K154" s="146"/>
      <c r="L154" s="146"/>
      <c r="M154" s="146"/>
      <c r="N154" s="146"/>
      <c r="O154" s="148"/>
      <c r="P154" s="149"/>
      <c r="Q154" s="150"/>
      <c r="R154" s="151"/>
      <c r="S154" s="151"/>
      <c r="T154" s="150"/>
      <c r="U154" s="152">
        <f t="shared" si="4"/>
        <v>27</v>
      </c>
      <c r="V154" s="150"/>
      <c r="W154" s="150"/>
      <c r="X154" s="153"/>
      <c r="Y154" s="154">
        <v>27.0</v>
      </c>
      <c r="Z154" s="155"/>
    </row>
    <row r="155">
      <c r="B155" s="53">
        <v>6703841.0</v>
      </c>
      <c r="C155" s="124" t="s">
        <v>345</v>
      </c>
      <c r="D155" s="43" t="s">
        <v>29</v>
      </c>
      <c r="E155" s="134" t="s">
        <v>346</v>
      </c>
      <c r="F155" s="33">
        <f>IFERROR(__xludf.DUMMYFUNCTION("IMPORTRANGE(""https://docs.google.com/spreadsheets/d/1mkXiGqjbNtqvOEWZzNFByz5W39tvmCidNg1Wc2fuxd8/edit?usp=drivesdk"",""3841!Z2"")"),0.0)</f>
        <v>0</v>
      </c>
      <c r="G155" s="127">
        <f>IFERROR(__xludf.DUMMYFUNCTION("IMPORTRANGE(""https://docs.google.com/spreadsheets/d/13et8RWBJNlvkYNcpjdmRkc7-wKp2x494wJXKZaKyaWE/edit?usp=drivesdk"",""3841!Z2"")"),26.0)</f>
        <v>26</v>
      </c>
      <c r="H155" s="135">
        <f>IFERROR(__xludf.DUMMYFUNCTION("IMPORTRANGE(""https://docs.google.com/spreadsheets/d/1DP4qPAi-kFl5WNfDx48jC0sBkEBYiUD9mmjsu-SE6aQ/edit?usp=drivesdk"",""3841!Z2"")"),11.0)</f>
        <v>11</v>
      </c>
      <c r="I155" s="128">
        <f>IFERROR(__xludf.DUMMYFUNCTION("IMPORTRANGE(""https://docs.google.com/spreadsheets/d/1fLxjJj2aUARqretaKi-EiflYh-8Z8twBzy22tl-i0Dg/edit?gid=0#gid=0"",""3841!Z2"")"),0.0)</f>
        <v>0</v>
      </c>
      <c r="J155" s="128">
        <f>IFERROR(__xludf.DUMMYFUNCTION("IMPORTRANGE(""https://docs.google.com/spreadsheets/d/1fLxjJj2aUARqretaKi-EiflYh-8Z8twBzy22tl-i0Dg/edit?usp=drivesdk"",""3841!Z2"")"),0.0)</f>
        <v>0</v>
      </c>
      <c r="K155" s="128">
        <f>IFERROR(__xludf.DUMMYFUNCTION("IMPORTRANGE(""https://docs.google.com/spreadsheets/d/1Bv-wBw4Oqdap8zRv7KGVkW3XauvLaU-_gtnmzdrt5SI/edit?usp=drivesdk"",""3841!Z2"")"),0.0)</f>
        <v>0</v>
      </c>
      <c r="L155" s="128">
        <f>IFERROR(__xludf.DUMMYFUNCTION("IMPORTRANGE(""https://docs.google.com/spreadsheets/d/1UxNeQMFFy4z9g7Y-MDrnJW1SwlaR4iRgB934VavfMuc/edit?usp=drivesdk"",""3841!Z2"")"),0.0)</f>
        <v>0</v>
      </c>
      <c r="M155" s="128">
        <f>IFERROR(__xludf.DUMMYFUNCTION("IMPORTRANGE(""https://docs.google.com/spreadsheets/d/1qWYgiCDAe3aXYeZUMGW6S-sTxbJKVv8dgq2XAtCE2bo/edit?usp=drivesdk"",""3841!Z2"")"),0.0)</f>
        <v>0</v>
      </c>
      <c r="N155" s="135"/>
      <c r="O155" s="41">
        <f t="shared" ref="O155:O184" si="5">SUM(F155:M155,R155,S155,T155)</f>
        <v>77</v>
      </c>
      <c r="P155" s="59" t="s">
        <v>34</v>
      </c>
      <c r="Q155" s="104"/>
      <c r="R155" s="108"/>
      <c r="S155" s="108">
        <v>40.0</v>
      </c>
      <c r="T155" s="104"/>
      <c r="U155" s="47">
        <f t="shared" si="4"/>
        <v>73</v>
      </c>
      <c r="V155" s="104"/>
      <c r="W155" s="104"/>
      <c r="X155" s="136"/>
      <c r="Y155" s="156">
        <v>73.0</v>
      </c>
      <c r="Z155" s="133"/>
    </row>
    <row r="156">
      <c r="B156" s="53">
        <v>6703842.0</v>
      </c>
      <c r="C156" s="124" t="s">
        <v>347</v>
      </c>
      <c r="D156" s="43" t="s">
        <v>29</v>
      </c>
      <c r="E156" s="134" t="s">
        <v>348</v>
      </c>
      <c r="F156" s="33">
        <f>IFERROR(__xludf.DUMMYFUNCTION("IMPORTRANGE(""https://docs.google.com/spreadsheets/d/1mkXiGqjbNtqvOEWZzNFByz5W39tvmCidNg1Wc2fuxd8/edit?usp=drivesdk"",""3842!Z2"")"),0.0)</f>
        <v>0</v>
      </c>
      <c r="G156" s="127">
        <f>IFERROR(__xludf.DUMMYFUNCTION("IMPORTRANGE(""https://docs.google.com/spreadsheets/d/13et8RWBJNlvkYNcpjdmRkc7-wKp2x494wJXKZaKyaWE/edit?usp=drivesdk"",""3842!Z2"")"),60.0)</f>
        <v>60</v>
      </c>
      <c r="H156" s="157">
        <f>IFERROR(__xludf.DUMMYFUNCTION("IMPORTRANGE(""https://docs.google.com/spreadsheets/d/1DP4qPAi-kFl5WNfDx48jC0sBkEBYiUD9mmjsu-SE6aQ/edit?usp=drivesdk"",""3842!Z2"")"),14.0)</f>
        <v>14</v>
      </c>
      <c r="I156" s="128">
        <f>IFERROR(__xludf.DUMMYFUNCTION("IMPORTRANGE(""https://docs.google.com/spreadsheets/d/1fLxjJj2aUARqretaKi-EiflYh-8Z8twBzy22tl-i0Dg/edit?gid=0#gid=0"",""3842!Z2"")"),0.0)</f>
        <v>0</v>
      </c>
      <c r="J156" s="128">
        <f>IFERROR(__xludf.DUMMYFUNCTION("IMPORTRANGE(""https://docs.google.com/spreadsheets/d/1fLxjJj2aUARqretaKi-EiflYh-8Z8twBzy22tl-i0Dg/edit?usp=drivesdk"",""3842!Z2"")"),0.0)</f>
        <v>0</v>
      </c>
      <c r="K156" s="128">
        <f>IFERROR(__xludf.DUMMYFUNCTION("IMPORTRANGE(""https://docs.google.com/spreadsheets/d/1Bv-wBw4Oqdap8zRv7KGVkW3XauvLaU-_gtnmzdrt5SI/edit?usp=drivesdk"",""3842!Z2"")"),0.0)</f>
        <v>0</v>
      </c>
      <c r="L156" s="128">
        <f>IFERROR(__xludf.DUMMYFUNCTION("IMPORTRANGE(""https://docs.google.com/spreadsheets/d/1UxNeQMFFy4z9g7Y-MDrnJW1SwlaR4iRgB934VavfMuc/edit?usp=drivesdk"",""3842!Z2"")"),0.0)</f>
        <v>0</v>
      </c>
      <c r="M156" s="128">
        <f>IFERROR(__xludf.DUMMYFUNCTION("IMPORTRANGE(""https://docs.google.com/spreadsheets/d/1qWYgiCDAe3aXYeZUMGW6S-sTxbJKVv8dgq2XAtCE2bo/edit?usp=drivesdk"",""3842!Z2"")"),0.0)</f>
        <v>0</v>
      </c>
      <c r="N156" s="135"/>
      <c r="O156" s="41">
        <f t="shared" si="5"/>
        <v>74</v>
      </c>
      <c r="P156" s="44"/>
      <c r="Q156" s="104"/>
      <c r="R156" s="108"/>
      <c r="S156" s="108"/>
      <c r="T156" s="104"/>
      <c r="U156" s="47">
        <f t="shared" si="4"/>
        <v>134</v>
      </c>
      <c r="V156" s="104"/>
      <c r="W156" s="104"/>
      <c r="X156" s="136"/>
      <c r="Y156" s="138">
        <v>134.0</v>
      </c>
      <c r="Z156" s="133"/>
    </row>
    <row r="157">
      <c r="B157" s="53">
        <v>6703843.0</v>
      </c>
      <c r="C157" s="124" t="s">
        <v>349</v>
      </c>
      <c r="D157" s="43" t="s">
        <v>29</v>
      </c>
      <c r="E157" s="134" t="s">
        <v>350</v>
      </c>
      <c r="F157" s="33">
        <f>IFERROR(__xludf.DUMMYFUNCTION("IMPORTRANGE(""https://docs.google.com/spreadsheets/d/1mkXiGqjbNtqvOEWZzNFByz5W39tvmCidNg1Wc2fuxd8/edit?usp=drivesdk"",""3843!Z2"")"),0.0)</f>
        <v>0</v>
      </c>
      <c r="G157" s="127">
        <f>IFERROR(__xludf.DUMMYFUNCTION("IMPORTRANGE(""https://docs.google.com/spreadsheets/d/13et8RWBJNlvkYNcpjdmRkc7-wKp2x494wJXKZaKyaWE/edit?usp=drivesdk"",""3843!Z2"")"),32.0)</f>
        <v>32</v>
      </c>
      <c r="H157" s="135">
        <f>IFERROR(__xludf.DUMMYFUNCTION("IMPORTRANGE(""https://docs.google.com/spreadsheets/d/1DP4qPAi-kFl5WNfDx48jC0sBkEBYiUD9mmjsu-SE6aQ/edit?usp=drivesdk"",""3843!Z2"")"),34.0)</f>
        <v>34</v>
      </c>
      <c r="I157" s="128">
        <f>IFERROR(__xludf.DUMMYFUNCTION("IMPORTRANGE(""https://docs.google.com/spreadsheets/d/1fLxjJj2aUARqretaKi-EiflYh-8Z8twBzy22tl-i0Dg/edit?gid=0#gid=0"",""3844!Z2"")"),0.0)</f>
        <v>0</v>
      </c>
      <c r="J157" s="128">
        <f>IFERROR(__xludf.DUMMYFUNCTION("IMPORTRANGE(""https://docs.google.com/spreadsheets/d/1fLxjJj2aUARqretaKi-EiflYh-8Z8twBzy22tl-i0Dg/edit?usp=drivesdk"",""3843!Z2"")"),0.0)</f>
        <v>0</v>
      </c>
      <c r="K157" s="128">
        <f>IFERROR(__xludf.DUMMYFUNCTION("IMPORTRANGE(""https://docs.google.com/spreadsheets/d/1Bv-wBw4Oqdap8zRv7KGVkW3XauvLaU-_gtnmzdrt5SI/edit?usp=drivesdk"",""3843!Z2"")"),0.0)</f>
        <v>0</v>
      </c>
      <c r="L157" s="128">
        <f>IFERROR(__xludf.DUMMYFUNCTION("IMPORTRANGE(""https://docs.google.com/spreadsheets/d/1UxNeQMFFy4z9g7Y-MDrnJW1SwlaR4iRgB934VavfMuc/edit?usp=drivesdk"",""3843!Z2"")"),0.0)</f>
        <v>0</v>
      </c>
      <c r="M157" s="128">
        <f>IFERROR(__xludf.DUMMYFUNCTION("IMPORTRANGE(""https://docs.google.com/spreadsheets/d/1qWYgiCDAe3aXYeZUMGW6S-sTxbJKVv8dgq2XAtCE2bo/edit?usp=drivesdk"",""3843!Z2"")"),0.0)</f>
        <v>0</v>
      </c>
      <c r="N157" s="135"/>
      <c r="O157" s="41">
        <f t="shared" si="5"/>
        <v>66</v>
      </c>
      <c r="P157" s="44"/>
      <c r="Q157" s="104"/>
      <c r="R157" s="108"/>
      <c r="S157" s="108"/>
      <c r="T157" s="104"/>
      <c r="U157" s="47">
        <f t="shared" si="4"/>
        <v>137</v>
      </c>
      <c r="V157" s="104"/>
      <c r="W157" s="104"/>
      <c r="X157" s="136"/>
      <c r="Y157" s="138">
        <v>137.0</v>
      </c>
      <c r="Z157" s="133"/>
    </row>
    <row r="158">
      <c r="B158" s="53">
        <v>6703844.0</v>
      </c>
      <c r="C158" s="124" t="s">
        <v>351</v>
      </c>
      <c r="D158" s="43" t="s">
        <v>29</v>
      </c>
      <c r="E158" s="134" t="s">
        <v>352</v>
      </c>
      <c r="F158" s="33">
        <f>IFERROR(__xludf.DUMMYFUNCTION("IMPORTRANGE(""https://docs.google.com/spreadsheets/d/1mkXiGqjbNtqvOEWZzNFByz5W39tvmCidNg1Wc2fuxd8/edit?usp=drivesdk"",""3844!Z2"")"),16.0)</f>
        <v>16</v>
      </c>
      <c r="G158" s="127">
        <f>IFERROR(__xludf.DUMMYFUNCTION("IMPORTRANGE(""https://docs.google.com/spreadsheets/d/13et8RWBJNlvkYNcpjdmRkc7-wKp2x494wJXKZaKyaWE/edit?usp=drivesdk"",""3844!Z2"")"),71.0)</f>
        <v>71</v>
      </c>
      <c r="H158" s="135">
        <f>IFERROR(__xludf.DUMMYFUNCTION("IMPORTRANGE(""https://docs.google.com/spreadsheets/d/1DP4qPAi-kFl5WNfDx48jC0sBkEBYiUD9mmjsu-SE6aQ/edit?usp=drivesdk"",""3844!Z2"")"),21.0)</f>
        <v>21</v>
      </c>
      <c r="I158" s="128">
        <f>IFERROR(__xludf.DUMMYFUNCTION("IMPORTRANGE(""https://docs.google.com/spreadsheets/d/1fLxjJj2aUARqretaKi-EiflYh-8Z8twBzy22tl-i0Dg/edit?gid=0#gid=0"",""3844!Z2"")"),0.0)</f>
        <v>0</v>
      </c>
      <c r="J158" s="128">
        <f>IFERROR(__xludf.DUMMYFUNCTION("IMPORTRANGE(""https://docs.google.com/spreadsheets/d/1fLxjJj2aUARqretaKi-EiflYh-8Z8twBzy22tl-i0Dg/edit?usp=drivesdk"",""3844!Z2"")"),0.0)</f>
        <v>0</v>
      </c>
      <c r="K158" s="128">
        <f>IFERROR(__xludf.DUMMYFUNCTION("IMPORTRANGE(""https://docs.google.com/spreadsheets/d/1Bv-wBw4Oqdap8zRv7KGVkW3XauvLaU-_gtnmzdrt5SI/edit?usp=drivesdk"",""3844!Z2"")"),0.0)</f>
        <v>0</v>
      </c>
      <c r="L158" s="128">
        <f>IFERROR(__xludf.DUMMYFUNCTION("IMPORTRANGE(""https://docs.google.com/spreadsheets/d/1UxNeQMFFy4z9g7Y-MDrnJW1SwlaR4iRgB934VavfMuc/edit?usp=drivesdk"",""3844!Z2"")"),0.0)</f>
        <v>0</v>
      </c>
      <c r="M158" s="128">
        <f>IFERROR(__xludf.DUMMYFUNCTION("IMPORTRANGE(""https://docs.google.com/spreadsheets/d/1qWYgiCDAe3aXYeZUMGW6S-sTxbJKVv8dgq2XAtCE2bo/edit?usp=drivesdk"",""3844!Z2"")"),0.0)</f>
        <v>0</v>
      </c>
      <c r="N158" s="135"/>
      <c r="O158" s="41">
        <f t="shared" si="5"/>
        <v>148</v>
      </c>
      <c r="P158" s="59" t="s">
        <v>34</v>
      </c>
      <c r="Q158" s="104"/>
      <c r="R158" s="108"/>
      <c r="S158" s="108">
        <v>40.0</v>
      </c>
      <c r="T158" s="104"/>
      <c r="U158" s="47">
        <f t="shared" si="4"/>
        <v>125</v>
      </c>
      <c r="V158" s="104"/>
      <c r="W158" s="104"/>
      <c r="X158" s="136"/>
      <c r="Y158" s="138">
        <v>125.0</v>
      </c>
      <c r="Z158" s="133"/>
    </row>
    <row r="159">
      <c r="B159" s="53">
        <v>6703845.0</v>
      </c>
      <c r="C159" s="124" t="s">
        <v>353</v>
      </c>
      <c r="D159" s="43" t="s">
        <v>29</v>
      </c>
      <c r="E159" s="134" t="s">
        <v>354</v>
      </c>
      <c r="F159" s="33">
        <f>IFERROR(__xludf.DUMMYFUNCTION("IMPORTRANGE(""https://docs.google.com/spreadsheets/d/1mkXiGqjbNtqvOEWZzNFByz5W39tvmCidNg1Wc2fuxd8/edit?usp=drivesdk"",""3845!Z2"")"),0.0)</f>
        <v>0</v>
      </c>
      <c r="G159" s="127">
        <f>IFERROR(__xludf.DUMMYFUNCTION("IMPORTRANGE(""https://docs.google.com/spreadsheets/d/13et8RWBJNlvkYNcpjdmRkc7-wKp2x494wJXKZaKyaWE/edit?usp=drivesdk"",""3845!Z2"")"),24.0)</f>
        <v>24</v>
      </c>
      <c r="H159" s="157">
        <f>IFERROR(__xludf.DUMMYFUNCTION("IMPORTRANGE(""https://docs.google.com/spreadsheets/d/1DP4qPAi-kFl5WNfDx48jC0sBkEBYiUD9mmjsu-SE6aQ/edit?usp=drivesdk"",""3845!Z2"")"),36.0)</f>
        <v>36</v>
      </c>
      <c r="I159" s="128">
        <f>IFERROR(__xludf.DUMMYFUNCTION("IMPORTRANGE(""https://docs.google.com/spreadsheets/d/1fLxjJj2aUARqretaKi-EiflYh-8Z8twBzy22tl-i0Dg/edit?gid=0#gid=0"",""3845!Z2"")"),0.0)</f>
        <v>0</v>
      </c>
      <c r="J159" s="128">
        <f>IFERROR(__xludf.DUMMYFUNCTION("IMPORTRANGE(""https://docs.google.com/spreadsheets/d/1fLxjJj2aUARqretaKi-EiflYh-8Z8twBzy22tl-i0Dg/edit?usp=drivesdk"",""3845!Z2"")"),0.0)</f>
        <v>0</v>
      </c>
      <c r="K159" s="128">
        <f>IFERROR(__xludf.DUMMYFUNCTION("IMPORTRANGE(""https://docs.google.com/spreadsheets/d/1Bv-wBw4Oqdap8zRv7KGVkW3XauvLaU-_gtnmzdrt5SI/edit?usp=drivesdk"",""3845!Z2"")"),0.0)</f>
        <v>0</v>
      </c>
      <c r="L159" s="128">
        <f>IFERROR(__xludf.DUMMYFUNCTION("IMPORTRANGE(""https://docs.google.com/spreadsheets/d/1UxNeQMFFy4z9g7Y-MDrnJW1SwlaR4iRgB934VavfMuc/edit?usp=drivesdk"",""3845!Z2"")"),0.0)</f>
        <v>0</v>
      </c>
      <c r="M159" s="128">
        <f>IFERROR(__xludf.DUMMYFUNCTION("IMPORTRANGE(""https://docs.google.com/spreadsheets/d/1qWYgiCDAe3aXYeZUMGW6S-sTxbJKVv8dgq2XAtCE2bo/edit?usp=drivesdk"",""3845!Z2"")"),0.0)</f>
        <v>0</v>
      </c>
      <c r="N159" s="135"/>
      <c r="O159" s="41">
        <f t="shared" si="5"/>
        <v>100</v>
      </c>
      <c r="P159" s="59" t="s">
        <v>34</v>
      </c>
      <c r="Q159" s="104"/>
      <c r="R159" s="108"/>
      <c r="S159" s="108">
        <v>40.0</v>
      </c>
      <c r="T159" s="104"/>
      <c r="U159" s="47">
        <f t="shared" si="4"/>
        <v>88</v>
      </c>
      <c r="V159" s="104"/>
      <c r="W159" s="104"/>
      <c r="X159" s="136"/>
      <c r="Y159" s="156">
        <v>88.0</v>
      </c>
      <c r="Z159" s="133"/>
    </row>
    <row r="160">
      <c r="B160" s="53">
        <v>6703846.0</v>
      </c>
      <c r="C160" s="124" t="s">
        <v>355</v>
      </c>
      <c r="D160" s="43" t="s">
        <v>29</v>
      </c>
      <c r="E160" s="134" t="s">
        <v>356</v>
      </c>
      <c r="F160" s="33">
        <f>IFERROR(__xludf.DUMMYFUNCTION("IMPORTRANGE(""https://docs.google.com/spreadsheets/d/1mkXiGqjbNtqvOEWZzNFByz5W39tvmCidNg1Wc2fuxd8/edit?usp=drivesdk"",""3846!Z2"")"),0.0)</f>
        <v>0</v>
      </c>
      <c r="G160" s="127">
        <f>IFERROR(__xludf.DUMMYFUNCTION("IMPORTRANGE(""https://docs.google.com/spreadsheets/d/13et8RWBJNlvkYNcpjdmRkc7-wKp2x494wJXKZaKyaWE/edit?usp=drivesdk"",""3846!Z2"")"),24.0)</f>
        <v>24</v>
      </c>
      <c r="H160" s="157">
        <f>IFERROR(__xludf.DUMMYFUNCTION("IMPORTRANGE(""https://docs.google.com/spreadsheets/d/1DP4qPAi-kFl5WNfDx48jC0sBkEBYiUD9mmjsu-SE6aQ/edit?usp=drivesdk"",""3846!Z2"")"),26.0)</f>
        <v>26</v>
      </c>
      <c r="I160" s="128">
        <f>IFERROR(__xludf.DUMMYFUNCTION("IMPORTRANGE(""https://docs.google.com/spreadsheets/d/1fLxjJj2aUARqretaKi-EiflYh-8Z8twBzy22tl-i0Dg/edit?gid=0#gid=0"",""3846!Z2"")"),0.0)</f>
        <v>0</v>
      </c>
      <c r="J160" s="128">
        <f>IFERROR(__xludf.DUMMYFUNCTION("IMPORTRANGE(""https://docs.google.com/spreadsheets/d/1fLxjJj2aUARqretaKi-EiflYh-8Z8twBzy22tl-i0Dg/edit?usp=drivesdk"",""3846!Z2"")"),0.0)</f>
        <v>0</v>
      </c>
      <c r="K160" s="128">
        <f>IFERROR(__xludf.DUMMYFUNCTION("IMPORTRANGE(""https://docs.google.com/spreadsheets/d/1Bv-wBw4Oqdap8zRv7KGVkW3XauvLaU-_gtnmzdrt5SI/edit?usp=drivesdk"",""3846!Z2"")"),0.0)</f>
        <v>0</v>
      </c>
      <c r="L160" s="128">
        <f>IFERROR(__xludf.DUMMYFUNCTION("IMPORTRANGE(""https://docs.google.com/spreadsheets/d/1UxNeQMFFy4z9g7Y-MDrnJW1SwlaR4iRgB934VavfMuc/edit?usp=drivesdk"",""3846!Z2"")"),2.0)</f>
        <v>2</v>
      </c>
      <c r="M160" s="128">
        <f>IFERROR(__xludf.DUMMYFUNCTION("IMPORTRANGE(""https://docs.google.com/spreadsheets/d/1qWYgiCDAe3aXYeZUMGW6S-sTxbJKVv8dgq2XAtCE2bo/edit?usp=drivesdk"",""3846!Z2"")"),0.0)</f>
        <v>0</v>
      </c>
      <c r="N160" s="135"/>
      <c r="O160" s="41">
        <f t="shared" si="5"/>
        <v>52</v>
      </c>
      <c r="P160" s="59"/>
      <c r="Q160" s="104"/>
      <c r="R160" s="108"/>
      <c r="S160" s="108"/>
      <c r="T160" s="104"/>
      <c r="U160" s="47">
        <f t="shared" si="4"/>
        <v>62</v>
      </c>
      <c r="V160" s="104"/>
      <c r="W160" s="104"/>
      <c r="X160" s="136"/>
      <c r="Y160" s="138">
        <v>62.0</v>
      </c>
      <c r="Z160" s="133"/>
    </row>
    <row r="161" ht="24.75" customHeight="1">
      <c r="B161" s="53">
        <v>6703847.0</v>
      </c>
      <c r="C161" s="124" t="s">
        <v>357</v>
      </c>
      <c r="D161" s="43" t="s">
        <v>29</v>
      </c>
      <c r="E161" s="134" t="s">
        <v>358</v>
      </c>
      <c r="F161" s="33">
        <f>IFERROR(__xludf.DUMMYFUNCTION("IMPORTRANGE(""https://docs.google.com/spreadsheets/d/1mkXiGqjbNtqvOEWZzNFByz5W39tvmCidNg1Wc2fuxd8/edit?usp=drivesdk"",""3847!Z2"")"),8.0)</f>
        <v>8</v>
      </c>
      <c r="G161" s="127">
        <f>IFERROR(__xludf.DUMMYFUNCTION("IMPORTRANGE(""https://docs.google.com/spreadsheets/d/13et8RWBJNlvkYNcpjdmRkc7-wKp2x494wJXKZaKyaWE/edit?usp=drivesdk"",""3847!Z2"")"),48.0)</f>
        <v>48</v>
      </c>
      <c r="H161" s="157">
        <f>IFERROR(__xludf.DUMMYFUNCTION("IMPORTRANGE(""https://docs.google.com/spreadsheets/d/1DP4qPAi-kFl5WNfDx48jC0sBkEBYiUD9mmjsu-SE6aQ/edit?usp=drivesdk"",""3847!Z2"")"),23.0)</f>
        <v>23</v>
      </c>
      <c r="I161" s="128">
        <f>IFERROR(__xludf.DUMMYFUNCTION("IMPORTRANGE(""https://docs.google.com/spreadsheets/d/1fLxjJj2aUARqretaKi-EiflYh-8Z8twBzy22tl-i0Dg/edit?gid=0#gid=0"",""3847!Z2"")"),0.0)</f>
        <v>0</v>
      </c>
      <c r="J161" s="128">
        <f>IFERROR(__xludf.DUMMYFUNCTION("IMPORTRANGE(""https://docs.google.com/spreadsheets/d/1fLxjJj2aUARqretaKi-EiflYh-8Z8twBzy22tl-i0Dg/edit?usp=drivesdk"",""3847!Z2"")"),0.0)</f>
        <v>0</v>
      </c>
      <c r="K161" s="128">
        <f>IFERROR(__xludf.DUMMYFUNCTION("IMPORTRANGE(""https://docs.google.com/spreadsheets/d/1Bv-wBw4Oqdap8zRv7KGVkW3XauvLaU-_gtnmzdrt5SI/edit?usp=drivesdk"",""3847!Z2"")"),0.0)</f>
        <v>0</v>
      </c>
      <c r="L161" s="128">
        <f>IFERROR(__xludf.DUMMYFUNCTION("IMPORTRANGE(""https://docs.google.com/spreadsheets/d/1UxNeQMFFy4z9g7Y-MDrnJW1SwlaR4iRgB934VavfMuc/edit?usp=drivesdk"",""3847!Z2"")"),0.0)</f>
        <v>0</v>
      </c>
      <c r="M161" s="128">
        <f>IFERROR(__xludf.DUMMYFUNCTION("IMPORTRANGE(""https://docs.google.com/spreadsheets/d/1qWYgiCDAe3aXYeZUMGW6S-sTxbJKVv8dgq2XAtCE2bo/edit?usp=drivesdk"",""3847!Z2"")"),0.0)</f>
        <v>0</v>
      </c>
      <c r="N161" s="135"/>
      <c r="O161" s="41">
        <f t="shared" si="5"/>
        <v>79</v>
      </c>
      <c r="P161" s="44"/>
      <c r="Q161" s="104"/>
      <c r="R161" s="108"/>
      <c r="S161" s="108"/>
      <c r="T161" s="104"/>
      <c r="U161" s="47">
        <f t="shared" si="4"/>
        <v>117</v>
      </c>
      <c r="V161" s="104"/>
      <c r="W161" s="104"/>
      <c r="X161" s="136"/>
      <c r="Y161" s="138">
        <v>117.0</v>
      </c>
      <c r="Z161" s="133"/>
    </row>
    <row r="162">
      <c r="B162" s="53">
        <v>6703848.0</v>
      </c>
      <c r="C162" s="124" t="s">
        <v>359</v>
      </c>
      <c r="D162" s="43" t="s">
        <v>29</v>
      </c>
      <c r="E162" s="134" t="s">
        <v>360</v>
      </c>
      <c r="F162" s="33">
        <f>IFERROR(__xludf.DUMMYFUNCTION("IMPORTRANGE(""https://docs.google.com/spreadsheets/d/1mkXiGqjbNtqvOEWZzNFByz5W39tvmCidNg1Wc2fuxd8/edit?usp=drivesdk"",""3848!Z2"")"),0.0)</f>
        <v>0</v>
      </c>
      <c r="G162" s="127">
        <f>IFERROR(__xludf.DUMMYFUNCTION("IMPORTRANGE(""https://docs.google.com/spreadsheets/d/13et8RWBJNlvkYNcpjdmRkc7-wKp2x494wJXKZaKyaWE/edit?usp=drivesdk"",""3848!Z2"")"),21.0)</f>
        <v>21</v>
      </c>
      <c r="H162" s="157">
        <f>IFERROR(__xludf.DUMMYFUNCTION("IMPORTRANGE(""https://docs.google.com/spreadsheets/d/1DP4qPAi-kFl5WNfDx48jC0sBkEBYiUD9mmjsu-SE6aQ/edit?usp=drivesdk"",""3848!Z2"")"),8.0)</f>
        <v>8</v>
      </c>
      <c r="I162" s="128">
        <f>IFERROR(__xludf.DUMMYFUNCTION("IMPORTRANGE(""https://docs.google.com/spreadsheets/d/1fLxjJj2aUARqretaKi-EiflYh-8Z8twBzy22tl-i0Dg/edit?gid=0#gid=0"",""3848!Z2"")"),0.0)</f>
        <v>0</v>
      </c>
      <c r="J162" s="128">
        <f>IFERROR(__xludf.DUMMYFUNCTION("IMPORTRANGE(""https://docs.google.com/spreadsheets/d/1fLxjJj2aUARqretaKi-EiflYh-8Z8twBzy22tl-i0Dg/edit?usp=drivesdk"",""3848!Z2"")"),0.0)</f>
        <v>0</v>
      </c>
      <c r="K162" s="128">
        <f>IFERROR(__xludf.DUMMYFUNCTION("IMPORTRANGE(""https://docs.google.com/spreadsheets/d/1Bv-wBw4Oqdap8zRv7KGVkW3XauvLaU-_gtnmzdrt5SI/edit?usp=drivesdk"",""3848!Z2"")"),0.0)</f>
        <v>0</v>
      </c>
      <c r="L162" s="128">
        <f>IFERROR(__xludf.DUMMYFUNCTION("IMPORTRANGE(""https://docs.google.com/spreadsheets/d/1UxNeQMFFy4z9g7Y-MDrnJW1SwlaR4iRgB934VavfMuc/edit?usp=drivesdk"",""3848!Z2"")"),0.0)</f>
        <v>0</v>
      </c>
      <c r="M162" s="128">
        <f>IFERROR(__xludf.DUMMYFUNCTION("IMPORTRANGE(""https://docs.google.com/spreadsheets/d/1qWYgiCDAe3aXYeZUMGW6S-sTxbJKVv8dgq2XAtCE2bo/edit?usp=drivesdk"",""3848!Z2"")"),0.0)</f>
        <v>0</v>
      </c>
      <c r="N162" s="135"/>
      <c r="O162" s="41">
        <f t="shared" si="5"/>
        <v>69</v>
      </c>
      <c r="P162" s="59" t="s">
        <v>34</v>
      </c>
      <c r="Q162" s="104"/>
      <c r="R162" s="108"/>
      <c r="S162" s="108">
        <v>40.0</v>
      </c>
      <c r="T162" s="104"/>
      <c r="U162" s="47">
        <f t="shared" si="4"/>
        <v>147</v>
      </c>
      <c r="V162" s="104"/>
      <c r="W162" s="104"/>
      <c r="X162" s="136"/>
      <c r="Y162" s="156">
        <v>147.0</v>
      </c>
      <c r="Z162" s="133"/>
    </row>
    <row r="163">
      <c r="B163" s="53">
        <v>6703849.0</v>
      </c>
      <c r="C163" s="124" t="s">
        <v>361</v>
      </c>
      <c r="D163" s="43" t="s">
        <v>29</v>
      </c>
      <c r="E163" s="134" t="s">
        <v>362</v>
      </c>
      <c r="F163" s="33">
        <f>IFERROR(__xludf.DUMMYFUNCTION("IMPORTRANGE(""https://docs.google.com/spreadsheets/d/1mkXiGqjbNtqvOEWZzNFByz5W39tvmCidNg1Wc2fuxd8/edit?usp=drivesdk"",""3849!Z2"")"),0.0)</f>
        <v>0</v>
      </c>
      <c r="G163" s="127">
        <f>IFERROR(__xludf.DUMMYFUNCTION("IMPORTRANGE(""https://docs.google.com/spreadsheets/d/13et8RWBJNlvkYNcpjdmRkc7-wKp2x494wJXKZaKyaWE/edit?usp=drivesdk"",""3849!Z2"")"),44.0)</f>
        <v>44</v>
      </c>
      <c r="H163" s="157">
        <f>IFERROR(__xludf.DUMMYFUNCTION("IMPORTRANGE(""https://docs.google.com/spreadsheets/d/1DP4qPAi-kFl5WNfDx48jC0sBkEBYiUD9mmjsu-SE6aQ/edit?usp=drivesdk"",""3849!Z2"")"),21.0)</f>
        <v>21</v>
      </c>
      <c r="I163" s="128">
        <f>IFERROR(__xludf.DUMMYFUNCTION("IMPORTRANGE(""https://docs.google.com/spreadsheets/d/1fLxjJj2aUARqretaKi-EiflYh-8Z8twBzy22tl-i0Dg/edit?gid=0#gid=0"",""3849!Z2"")"),0.0)</f>
        <v>0</v>
      </c>
      <c r="J163" s="128">
        <f>IFERROR(__xludf.DUMMYFUNCTION("IMPORTRANGE(""https://docs.google.com/spreadsheets/d/1fLxjJj2aUARqretaKi-EiflYh-8Z8twBzy22tl-i0Dg/edit?usp=drivesdk"",""3849!Z2"")"),0.0)</f>
        <v>0</v>
      </c>
      <c r="K163" s="128">
        <f>IFERROR(__xludf.DUMMYFUNCTION("IMPORTRANGE(""https://docs.google.com/spreadsheets/d/1Bv-wBw4Oqdap8zRv7KGVkW3XauvLaU-_gtnmzdrt5SI/edit?usp=drivesdk"",""3849!Z2"")"),0.0)</f>
        <v>0</v>
      </c>
      <c r="L163" s="128">
        <f>IFERROR(__xludf.DUMMYFUNCTION("IMPORTRANGE(""https://docs.google.com/spreadsheets/d/1UxNeQMFFy4z9g7Y-MDrnJW1SwlaR4iRgB934VavfMuc/edit?usp=drivesdk"",""3849!Z2"")"),0.0)</f>
        <v>0</v>
      </c>
      <c r="M163" s="128">
        <f>IFERROR(__xludf.DUMMYFUNCTION("IMPORTRANGE(""https://docs.google.com/spreadsheets/d/1qWYgiCDAe3aXYeZUMGW6S-sTxbJKVv8dgq2XAtCE2bo/edit?usp=drivesdk"",""3849!Z2"")"),0.0)</f>
        <v>0</v>
      </c>
      <c r="N163" s="135"/>
      <c r="O163" s="41">
        <f t="shared" si="5"/>
        <v>65</v>
      </c>
      <c r="P163" s="44"/>
      <c r="Q163" s="104"/>
      <c r="R163" s="108"/>
      <c r="S163" s="108"/>
      <c r="T163" s="104"/>
      <c r="U163" s="47">
        <f t="shared" si="4"/>
        <v>58</v>
      </c>
      <c r="V163" s="104"/>
      <c r="W163" s="104"/>
      <c r="X163" s="136"/>
      <c r="Y163" s="138">
        <v>58.0</v>
      </c>
      <c r="Z163" s="133"/>
    </row>
    <row r="164">
      <c r="B164" s="53">
        <v>6703850.0</v>
      </c>
      <c r="C164" s="124" t="s">
        <v>363</v>
      </c>
      <c r="D164" s="43" t="s">
        <v>29</v>
      </c>
      <c r="E164" s="134" t="s">
        <v>364</v>
      </c>
      <c r="F164" s="33">
        <f>IFERROR(__xludf.DUMMYFUNCTION("IMPORTRANGE(""https://docs.google.com/spreadsheets/d/1mkXiGqjbNtqvOEWZzNFByz5W39tvmCidNg1Wc2fuxd8/edit?usp=drivesdk"",""3850!Z2"")"),0.0)</f>
        <v>0</v>
      </c>
      <c r="G164" s="127">
        <f>IFERROR(__xludf.DUMMYFUNCTION("IMPORTRANGE(""https://docs.google.com/spreadsheets/d/13et8RWBJNlvkYNcpjdmRkc7-wKp2x494wJXKZaKyaWE/edit?usp=drivesdk"",""3850!Z2"")"),29.0)</f>
        <v>29</v>
      </c>
      <c r="H164" s="157">
        <f>IFERROR(__xludf.DUMMYFUNCTION("IMPORTRANGE(""https://docs.google.com/spreadsheets/d/1DP4qPAi-kFl5WNfDx48jC0sBkEBYiUD9mmjsu-SE6aQ/edit?usp=drivesdk"",""3850!Z2"")"),10.0)</f>
        <v>10</v>
      </c>
      <c r="I164" s="128">
        <f>IFERROR(__xludf.DUMMYFUNCTION("IMPORTRANGE(""https://docs.google.com/spreadsheets/d/1fLxjJj2aUARqretaKi-EiflYh-8Z8twBzy22tl-i0Dg/edit?gid=0#gid=0"",""3850!Z2"")"),0.0)</f>
        <v>0</v>
      </c>
      <c r="J164" s="128">
        <f>IFERROR(__xludf.DUMMYFUNCTION("IMPORTRANGE(""https://docs.google.com/spreadsheets/d/1fLxjJj2aUARqretaKi-EiflYh-8Z8twBzy22tl-i0Dg/edit?usp=drivesdk"",""3850!Z2"")"),0.0)</f>
        <v>0</v>
      </c>
      <c r="K164" s="128">
        <f>IFERROR(__xludf.DUMMYFUNCTION("IMPORTRANGE(""https://docs.google.com/spreadsheets/d/1Bv-wBw4Oqdap8zRv7KGVkW3XauvLaU-_gtnmzdrt5SI/edit?usp=drivesdk"",""3850!Z2"")"),0.0)</f>
        <v>0</v>
      </c>
      <c r="L164" s="128">
        <f>IFERROR(__xludf.DUMMYFUNCTION("IMPORTRANGE(""https://docs.google.com/spreadsheets/d/1UxNeQMFFy4z9g7Y-MDrnJW1SwlaR4iRgB934VavfMuc/edit?usp=drivesdk"",""3850!Z2"")"),0.0)</f>
        <v>0</v>
      </c>
      <c r="M164" s="128">
        <f>IFERROR(__xludf.DUMMYFUNCTION("IMPORTRANGE(""https://docs.google.com/spreadsheets/d/1qWYgiCDAe3aXYeZUMGW6S-sTxbJKVv8dgq2XAtCE2bo/edit?usp=drivesdk"",""3850!Z2"")"),0.0)</f>
        <v>0</v>
      </c>
      <c r="N164" s="135"/>
      <c r="O164" s="41">
        <f t="shared" si="5"/>
        <v>79</v>
      </c>
      <c r="P164" s="59" t="s">
        <v>34</v>
      </c>
      <c r="Q164" s="104"/>
      <c r="R164" s="108"/>
      <c r="S164" s="108">
        <v>40.0</v>
      </c>
      <c r="T164" s="104"/>
      <c r="U164" s="47">
        <f t="shared" si="4"/>
        <v>81</v>
      </c>
      <c r="V164" s="104"/>
      <c r="W164" s="104"/>
      <c r="X164" s="136"/>
      <c r="Y164" s="138">
        <v>81.0</v>
      </c>
      <c r="Z164" s="133"/>
    </row>
    <row r="165">
      <c r="B165" s="53">
        <v>6703851.0</v>
      </c>
      <c r="C165" s="124" t="s">
        <v>365</v>
      </c>
      <c r="D165" s="43" t="s">
        <v>29</v>
      </c>
      <c r="E165" s="134" t="s">
        <v>366</v>
      </c>
      <c r="F165" s="33">
        <f>IFERROR(__xludf.DUMMYFUNCTION("IMPORTRANGE(""https://docs.google.com/spreadsheets/d/1mkXiGqjbNtqvOEWZzNFByz5W39tvmCidNg1Wc2fuxd8/edit?usp=drivesdk"",""3851!Z2"")"),8.0)</f>
        <v>8</v>
      </c>
      <c r="G165" s="127">
        <f>IFERROR(__xludf.DUMMYFUNCTION("IMPORTRANGE(""https://docs.google.com/spreadsheets/d/13et8RWBJNlvkYNcpjdmRkc7-wKp2x494wJXKZaKyaWE/edit?usp=drivesdk"",""3851!Z2"")"),41.0)</f>
        <v>41</v>
      </c>
      <c r="H165" s="157">
        <f>IFERROR(__xludf.DUMMYFUNCTION("IMPORTRANGE(""https://docs.google.com/spreadsheets/d/1DP4qPAi-kFl5WNfDx48jC0sBkEBYiUD9mmjsu-SE6aQ/edit?usp=drivesdk"",""3851!Z2"")"),32.0)</f>
        <v>32</v>
      </c>
      <c r="I165" s="128">
        <f>IFERROR(__xludf.DUMMYFUNCTION("IMPORTRANGE(""https://docs.google.com/spreadsheets/d/1fLxjJj2aUARqretaKi-EiflYh-8Z8twBzy22tl-i0Dg/edit?gid=0#gid=0"",""3851!Z2"")"),0.0)</f>
        <v>0</v>
      </c>
      <c r="J165" s="128">
        <f>IFERROR(__xludf.DUMMYFUNCTION("IMPORTRANGE(""https://docs.google.com/spreadsheets/d/1fLxjJj2aUARqretaKi-EiflYh-8Z8twBzy22tl-i0Dg/edit?usp=drivesdk"",""3851!Z2"")"),0.0)</f>
        <v>0</v>
      </c>
      <c r="K165" s="128">
        <f>IFERROR(__xludf.DUMMYFUNCTION("IMPORTRANGE(""https://docs.google.com/spreadsheets/d/1Bv-wBw4Oqdap8zRv7KGVkW3XauvLaU-_gtnmzdrt5SI/edit?usp=drivesdk"",""3851!Z2"")"),0.0)</f>
        <v>0</v>
      </c>
      <c r="L165" s="128">
        <f>IFERROR(__xludf.DUMMYFUNCTION("IMPORTRANGE(""https://docs.google.com/spreadsheets/d/1UxNeQMFFy4z9g7Y-MDrnJW1SwlaR4iRgB934VavfMuc/edit?usp=drivesdk"",""3851!Z2"")"),0.0)</f>
        <v>0</v>
      </c>
      <c r="M165" s="128">
        <f>IFERROR(__xludf.DUMMYFUNCTION("IMPORTRANGE(""https://docs.google.com/spreadsheets/d/1qWYgiCDAe3aXYeZUMGW6S-sTxbJKVv8dgq2XAtCE2bo/edit?usp=drivesdk"",""3851!Z2"")"),1.0)</f>
        <v>1</v>
      </c>
      <c r="N165" s="135"/>
      <c r="O165" s="41">
        <f t="shared" si="5"/>
        <v>82</v>
      </c>
      <c r="P165" s="44"/>
      <c r="Q165" s="104"/>
      <c r="R165" s="108"/>
      <c r="S165" s="108"/>
      <c r="T165" s="104"/>
      <c r="U165" s="47">
        <f t="shared" si="4"/>
        <v>64</v>
      </c>
      <c r="V165" s="104"/>
      <c r="W165" s="104"/>
      <c r="X165" s="136"/>
      <c r="Y165" s="138">
        <v>64.0</v>
      </c>
      <c r="Z165" s="133"/>
    </row>
    <row r="166">
      <c r="B166" s="53">
        <v>6703852.0</v>
      </c>
      <c r="C166" s="124" t="s">
        <v>367</v>
      </c>
      <c r="D166" s="43" t="s">
        <v>29</v>
      </c>
      <c r="E166" s="134" t="s">
        <v>368</v>
      </c>
      <c r="F166" s="33">
        <f>IFERROR(__xludf.DUMMYFUNCTION("IMPORTRANGE(""https://docs.google.com/spreadsheets/d/1mkXiGqjbNtqvOEWZzNFByz5W39tvmCidNg1Wc2fuxd8/edit?usp=drivesdk"",""3852!Z2"")"),0.0)</f>
        <v>0</v>
      </c>
      <c r="G166" s="127">
        <f>IFERROR(__xludf.DUMMYFUNCTION("IMPORTRANGE(""https://docs.google.com/spreadsheets/d/13et8RWBJNlvkYNcpjdmRkc7-wKp2x494wJXKZaKyaWE/edit?usp=drivesdk"",""3852!Z2"")"),29.0)</f>
        <v>29</v>
      </c>
      <c r="H166" s="157">
        <f>IFERROR(__xludf.DUMMYFUNCTION("IMPORTRANGE(""https://docs.google.com/spreadsheets/d/1DP4qPAi-kFl5WNfDx48jC0sBkEBYiUD9mmjsu-SE6aQ/edit?usp=drivesdk"",""3852!Z2"")"),28.0)</f>
        <v>28</v>
      </c>
      <c r="I166" s="128">
        <f>IFERROR(__xludf.DUMMYFUNCTION("IMPORTRANGE(""https://docs.google.com/spreadsheets/d/1fLxjJj2aUARqretaKi-EiflYh-8Z8twBzy22tl-i0Dg/edit?gid=0#gid=0"",""3852!Z2"")"),0.0)</f>
        <v>0</v>
      </c>
      <c r="J166" s="128">
        <f>IFERROR(__xludf.DUMMYFUNCTION("IMPORTRANGE(""https://docs.google.com/spreadsheets/d/1fLxjJj2aUARqretaKi-EiflYh-8Z8twBzy22tl-i0Dg/edit?usp=drivesdk"",""3852!Z2"")"),0.0)</f>
        <v>0</v>
      </c>
      <c r="K166" s="128">
        <f>IFERROR(__xludf.DUMMYFUNCTION("IMPORTRANGE(""https://docs.google.com/spreadsheets/d/1Bv-wBw4Oqdap8zRv7KGVkW3XauvLaU-_gtnmzdrt5SI/edit?usp=drivesdk"",""3852!Z2"")"),0.0)</f>
        <v>0</v>
      </c>
      <c r="L166" s="128">
        <f>IFERROR(__xludf.DUMMYFUNCTION("IMPORTRANGE(""https://docs.google.com/spreadsheets/d/1UxNeQMFFy4z9g7Y-MDrnJW1SwlaR4iRgB934VavfMuc/edit?usp=drivesdk"",""3852!Z2"")"),0.0)</f>
        <v>0</v>
      </c>
      <c r="M166" s="128">
        <f>IFERROR(__xludf.DUMMYFUNCTION("IMPORTRANGE(""https://docs.google.com/spreadsheets/d/1qWYgiCDAe3aXYeZUMGW6S-sTxbJKVv8dgq2XAtCE2bo/edit?usp=drivesdk"",""3852!Z2"")"),0.0)</f>
        <v>0</v>
      </c>
      <c r="N166" s="135"/>
      <c r="O166" s="41">
        <f t="shared" si="5"/>
        <v>97</v>
      </c>
      <c r="P166" s="59" t="s">
        <v>42</v>
      </c>
      <c r="Q166" s="104"/>
      <c r="R166" s="108"/>
      <c r="S166" s="108">
        <v>40.0</v>
      </c>
      <c r="T166" s="104"/>
      <c r="U166" s="47">
        <f t="shared" si="4"/>
        <v>105</v>
      </c>
      <c r="V166" s="104"/>
      <c r="W166" s="104"/>
      <c r="X166" s="136"/>
      <c r="Y166" s="132">
        <v>105.0</v>
      </c>
      <c r="Z166" s="133"/>
    </row>
    <row r="167">
      <c r="B167" s="53">
        <v>6703853.0</v>
      </c>
      <c r="C167" s="124" t="s">
        <v>369</v>
      </c>
      <c r="D167" s="43" t="s">
        <v>29</v>
      </c>
      <c r="E167" s="134" t="s">
        <v>370</v>
      </c>
      <c r="F167" s="33">
        <f>IFERROR(__xludf.DUMMYFUNCTION("IMPORTRANGE(""https://docs.google.com/spreadsheets/d/1mkXiGqjbNtqvOEWZzNFByz5W39tvmCidNg1Wc2fuxd8/edit?usp=drivesdk"",""3853!Z2"")"),0.0)</f>
        <v>0</v>
      </c>
      <c r="G167" s="127">
        <f>IFERROR(__xludf.DUMMYFUNCTION("IMPORTRANGE(""https://docs.google.com/spreadsheets/d/13et8RWBJNlvkYNcpjdmRkc7-wKp2x494wJXKZaKyaWE/edit?usp=drivesdk"",""3853!Z2"")"),40.0)</f>
        <v>40</v>
      </c>
      <c r="H167" s="157">
        <f>IFERROR(__xludf.DUMMYFUNCTION("IMPORTRANGE(""https://docs.google.com/spreadsheets/d/1DP4qPAi-kFl5WNfDx48jC0sBkEBYiUD9mmjsu-SE6aQ/edit?usp=drivesdk"",""3853!Z2"")"),14.0)</f>
        <v>14</v>
      </c>
      <c r="I167" s="128">
        <f>IFERROR(__xludf.DUMMYFUNCTION("IMPORTRANGE(""https://docs.google.com/spreadsheets/d/1fLxjJj2aUARqretaKi-EiflYh-8Z8twBzy22tl-i0Dg/edit?gid=0#gid=0"",""3853!Z2"")"),0.0)</f>
        <v>0</v>
      </c>
      <c r="J167" s="128">
        <f>IFERROR(__xludf.DUMMYFUNCTION("IMPORTRANGE(""https://docs.google.com/spreadsheets/d/1fLxjJj2aUARqretaKi-EiflYh-8Z8twBzy22tl-i0Dg/edit?usp=drivesdk"",""3853!Z2"")"),0.0)</f>
        <v>0</v>
      </c>
      <c r="K167" s="128">
        <f>IFERROR(__xludf.DUMMYFUNCTION("IMPORTRANGE(""https://docs.google.com/spreadsheets/d/1Bv-wBw4Oqdap8zRv7KGVkW3XauvLaU-_gtnmzdrt5SI/edit?usp=drivesdk"",""3853!Z2"")"),0.0)</f>
        <v>0</v>
      </c>
      <c r="L167" s="128">
        <f>IFERROR(__xludf.DUMMYFUNCTION("IMPORTRANGE(""https://docs.google.com/spreadsheets/d/1UxNeQMFFy4z9g7Y-MDrnJW1SwlaR4iRgB934VavfMuc/edit?usp=drivesdk"",""3853!Z2"")"),0.0)</f>
        <v>0</v>
      </c>
      <c r="M167" s="128">
        <f>IFERROR(__xludf.DUMMYFUNCTION("IMPORTRANGE(""https://docs.google.com/spreadsheets/d/1qWYgiCDAe3aXYeZUMGW6S-sTxbJKVv8dgq2XAtCE2bo/edit?usp=drivesdk"",""3853!Z2"")"),0.0)</f>
        <v>0</v>
      </c>
      <c r="N167" s="135"/>
      <c r="O167" s="41">
        <f t="shared" si="5"/>
        <v>94</v>
      </c>
      <c r="P167" s="59" t="s">
        <v>118</v>
      </c>
      <c r="Q167" s="104"/>
      <c r="R167" s="108"/>
      <c r="S167" s="108">
        <v>40.0</v>
      </c>
      <c r="T167" s="104"/>
      <c r="U167" s="47">
        <f t="shared" si="4"/>
        <v>83</v>
      </c>
      <c r="V167" s="104"/>
      <c r="W167" s="104"/>
      <c r="X167" s="136"/>
      <c r="Y167" s="158">
        <v>83.0</v>
      </c>
      <c r="Z167" s="133"/>
    </row>
    <row r="168">
      <c r="B168" s="53">
        <v>6703854.0</v>
      </c>
      <c r="C168" s="124" t="s">
        <v>371</v>
      </c>
      <c r="D168" s="43" t="s">
        <v>29</v>
      </c>
      <c r="E168" s="134" t="s">
        <v>372</v>
      </c>
      <c r="F168" s="33">
        <f>IFERROR(__xludf.DUMMYFUNCTION("IMPORTRANGE(""https://docs.google.com/spreadsheets/d/1mkXiGqjbNtqvOEWZzNFByz5W39tvmCidNg1Wc2fuxd8/edit?usp=drivesdk"",""3854!Z2"")"),0.0)</f>
        <v>0</v>
      </c>
      <c r="G168" s="127">
        <f>IFERROR(__xludf.DUMMYFUNCTION("IMPORTRANGE(""https://docs.google.com/spreadsheets/d/13et8RWBJNlvkYNcpjdmRkc7-wKp2x494wJXKZaKyaWE/edit?usp=drivesdk"",""3854!Z2"")"),44.0)</f>
        <v>44</v>
      </c>
      <c r="H168" s="157">
        <f>IFERROR(__xludf.DUMMYFUNCTION("IMPORTRANGE(""https://docs.google.com/spreadsheets/d/1DP4qPAi-kFl5WNfDx48jC0sBkEBYiUD9mmjsu-SE6aQ/edit?usp=drivesdk"",""3854!Z2"")"),19.0)</f>
        <v>19</v>
      </c>
      <c r="I168" s="128">
        <f>IFERROR(__xludf.DUMMYFUNCTION("IMPORTRANGE(""https://docs.google.com/spreadsheets/d/1fLxjJj2aUARqretaKi-EiflYh-8Z8twBzy22tl-i0Dg/edit?gid=0#gid=0"",""3854!Z2"")"),0.0)</f>
        <v>0</v>
      </c>
      <c r="J168" s="128">
        <f>IFERROR(__xludf.DUMMYFUNCTION("IMPORTRANGE(""https://docs.google.com/spreadsheets/d/1fLxjJj2aUARqretaKi-EiflYh-8Z8twBzy22tl-i0Dg/edit?usp=drivesdk"",""3854!Z2"")"),0.0)</f>
        <v>0</v>
      </c>
      <c r="K168" s="128">
        <f>IFERROR(__xludf.DUMMYFUNCTION("IMPORTRANGE(""https://docs.google.com/spreadsheets/d/1Bv-wBw4Oqdap8zRv7KGVkW3XauvLaU-_gtnmzdrt5SI/edit?usp=drivesdk"",""3854!Z2"")"),4.0)</f>
        <v>4</v>
      </c>
      <c r="L168" s="128">
        <f>IFERROR(__xludf.DUMMYFUNCTION("IMPORTRANGE(""https://docs.google.com/spreadsheets/d/1UxNeQMFFy4z9g7Y-MDrnJW1SwlaR4iRgB934VavfMuc/edit?usp=drivesdk"",""3854!Z2"")"),0.0)</f>
        <v>0</v>
      </c>
      <c r="M168" s="128">
        <f>IFERROR(__xludf.DUMMYFUNCTION("IMPORTRANGE(""https://docs.google.com/spreadsheets/d/1qWYgiCDAe3aXYeZUMGW6S-sTxbJKVv8dgq2XAtCE2bo/edit?usp=drivesdk"",""3854!Z2"")"),0.0)</f>
        <v>0</v>
      </c>
      <c r="N168" s="135"/>
      <c r="O168" s="41">
        <f t="shared" si="5"/>
        <v>67</v>
      </c>
      <c r="P168" s="44"/>
      <c r="Q168" s="104"/>
      <c r="R168" s="108"/>
      <c r="S168" s="108"/>
      <c r="T168" s="104"/>
      <c r="U168" s="47">
        <f t="shared" si="4"/>
        <v>74</v>
      </c>
      <c r="V168" s="104"/>
      <c r="W168" s="104"/>
      <c r="X168" s="136"/>
      <c r="Y168" s="138">
        <v>74.0</v>
      </c>
      <c r="Z168" s="133"/>
    </row>
    <row r="169">
      <c r="B169" s="53">
        <v>6703855.0</v>
      </c>
      <c r="C169" s="124" t="s">
        <v>373</v>
      </c>
      <c r="D169" s="43" t="s">
        <v>29</v>
      </c>
      <c r="E169" s="134" t="s">
        <v>374</v>
      </c>
      <c r="F169" s="33">
        <f>IFERROR(__xludf.DUMMYFUNCTION("IMPORTRANGE(""https://docs.google.com/spreadsheets/d/1mkXiGqjbNtqvOEWZzNFByz5W39tvmCidNg1Wc2fuxd8/edit?usp=drivesdk"",""3855!Z2"")"),0.0)</f>
        <v>0</v>
      </c>
      <c r="G169" s="127">
        <f>IFERROR(__xludf.DUMMYFUNCTION("IMPORTRANGE(""https://docs.google.com/spreadsheets/d/13et8RWBJNlvkYNcpjdmRkc7-wKp2x494wJXKZaKyaWE/edit?usp=drivesdk"",""3855!Z2"")"),32.0)</f>
        <v>32</v>
      </c>
      <c r="H169" s="157">
        <f>IFERROR(__xludf.DUMMYFUNCTION("IMPORTRANGE(""https://docs.google.com/spreadsheets/d/1DP4qPAi-kFl5WNfDx48jC0sBkEBYiUD9mmjsu-SE6aQ/edit?usp=drivesdk"",""3855!Z2"")"),27.0)</f>
        <v>27</v>
      </c>
      <c r="I169" s="128">
        <f>IFERROR(__xludf.DUMMYFUNCTION("IMPORTRANGE(""https://docs.google.com/spreadsheets/d/1fLxjJj2aUARqretaKi-EiflYh-8Z8twBzy22tl-i0Dg/edit?gid=0#gid=0"",""3855!Z2"")"),0.0)</f>
        <v>0</v>
      </c>
      <c r="J169" s="128">
        <f>IFERROR(__xludf.DUMMYFUNCTION("IMPORTRANGE(""https://docs.google.com/spreadsheets/d/1fLxjJj2aUARqretaKi-EiflYh-8Z8twBzy22tl-i0Dg/edit?usp=drivesdk"",""3855!Z2"")"),0.0)</f>
        <v>0</v>
      </c>
      <c r="K169" s="128">
        <f>IFERROR(__xludf.DUMMYFUNCTION("IMPORTRANGE(""https://docs.google.com/spreadsheets/d/1Bv-wBw4Oqdap8zRv7KGVkW3XauvLaU-_gtnmzdrt5SI/edit?usp=drivesdk"",""3855!Z2"")"),0.0)</f>
        <v>0</v>
      </c>
      <c r="L169" s="128">
        <f>IFERROR(__xludf.DUMMYFUNCTION("IMPORTRANGE(""https://docs.google.com/spreadsheets/d/1UxNeQMFFy4z9g7Y-MDrnJW1SwlaR4iRgB934VavfMuc/edit?usp=drivesdk"",""3855!Z2"")"),0.0)</f>
        <v>0</v>
      </c>
      <c r="M169" s="128">
        <f>IFERROR(__xludf.DUMMYFUNCTION("IMPORTRANGE(""https://docs.google.com/spreadsheets/d/1qWYgiCDAe3aXYeZUMGW6S-sTxbJKVv8dgq2XAtCE2bo/edit?usp=drivesdk"",""3855!Z2"")"),0.0)</f>
        <v>0</v>
      </c>
      <c r="N169" s="135"/>
      <c r="O169" s="41">
        <f t="shared" si="5"/>
        <v>59</v>
      </c>
      <c r="P169" s="44"/>
      <c r="Q169" s="104"/>
      <c r="R169" s="108"/>
      <c r="S169" s="108"/>
      <c r="T169" s="104"/>
      <c r="U169" s="47">
        <f t="shared" si="4"/>
        <v>61</v>
      </c>
      <c r="V169" s="104"/>
      <c r="W169" s="104"/>
      <c r="X169" s="136"/>
      <c r="Y169" s="138">
        <v>61.0</v>
      </c>
      <c r="Z169" s="133"/>
    </row>
    <row r="170">
      <c r="B170" s="53">
        <v>6703856.0</v>
      </c>
      <c r="C170" s="124" t="s">
        <v>375</v>
      </c>
      <c r="D170" s="43" t="s">
        <v>29</v>
      </c>
      <c r="E170" s="134" t="s">
        <v>376</v>
      </c>
      <c r="F170" s="33">
        <f>IFERROR(__xludf.DUMMYFUNCTION("IMPORTRANGE(""https://docs.google.com/spreadsheets/d/1mkXiGqjbNtqvOEWZzNFByz5W39tvmCidNg1Wc2fuxd8/edit?usp=drivesdk"",""3856!Z2"")"),0.0)</f>
        <v>0</v>
      </c>
      <c r="G170" s="127">
        <f>IFERROR(__xludf.DUMMYFUNCTION("IMPORTRANGE(""https://docs.google.com/spreadsheets/d/13et8RWBJNlvkYNcpjdmRkc7-wKp2x494wJXKZaKyaWE/edit?usp=drivesdk"",""3856!Z2"")"),64.0)</f>
        <v>64</v>
      </c>
      <c r="H170" s="157">
        <f>IFERROR(__xludf.DUMMYFUNCTION("IMPORTRANGE(""https://docs.google.com/spreadsheets/d/1DP4qPAi-kFl5WNfDx48jC0sBkEBYiUD9mmjsu-SE6aQ/edit?usp=drivesdk"",""3856!Z2"")"),24.0)</f>
        <v>24</v>
      </c>
      <c r="I170" s="128">
        <f>IFERROR(__xludf.DUMMYFUNCTION("IMPORTRANGE(""https://docs.google.com/spreadsheets/d/1fLxjJj2aUARqretaKi-EiflYh-8Z8twBzy22tl-i0Dg/edit?gid=0#gid=0"",""3856!Z2"")"),0.0)</f>
        <v>0</v>
      </c>
      <c r="J170" s="128">
        <f>IFERROR(__xludf.DUMMYFUNCTION("IMPORTRANGE(""https://docs.google.com/spreadsheets/d/1fLxjJj2aUARqretaKi-EiflYh-8Z8twBzy22tl-i0Dg/edit?usp=drivesdk"",""3856!Z2"")"),0.0)</f>
        <v>0</v>
      </c>
      <c r="K170" s="128">
        <f>IFERROR(__xludf.DUMMYFUNCTION("IMPORTRANGE(""https://docs.google.com/spreadsheets/d/1Bv-wBw4Oqdap8zRv7KGVkW3XauvLaU-_gtnmzdrt5SI/edit?usp=drivesdk"",""3856!Z2"")"),0.0)</f>
        <v>0</v>
      </c>
      <c r="L170" s="128">
        <f>IFERROR(__xludf.DUMMYFUNCTION("IMPORTRANGE(""https://docs.google.com/spreadsheets/d/1UxNeQMFFy4z9g7Y-MDrnJW1SwlaR4iRgB934VavfMuc/edit?usp=drivesdk"",""3856!Z2"")"),0.0)</f>
        <v>0</v>
      </c>
      <c r="M170" s="128">
        <f>IFERROR(__xludf.DUMMYFUNCTION("IMPORTRANGE(""https://docs.google.com/spreadsheets/d/1qWYgiCDAe3aXYeZUMGW6S-sTxbJKVv8dgq2XAtCE2bo/edit?usp=drivesdk"",""3856!Z2"")"),0.0)</f>
        <v>0</v>
      </c>
      <c r="N170" s="135"/>
      <c r="O170" s="41">
        <f t="shared" si="5"/>
        <v>88</v>
      </c>
      <c r="P170" s="44"/>
      <c r="Q170" s="104"/>
      <c r="R170" s="108"/>
      <c r="S170" s="108"/>
      <c r="T170" s="104"/>
      <c r="U170" s="47">
        <f t="shared" si="4"/>
        <v>69</v>
      </c>
      <c r="V170" s="104"/>
      <c r="W170" s="104"/>
      <c r="X170" s="136"/>
      <c r="Y170" s="138">
        <v>69.0</v>
      </c>
      <c r="Z170" s="133"/>
    </row>
    <row r="171">
      <c r="B171" s="53">
        <v>6703857.0</v>
      </c>
      <c r="C171" s="124" t="s">
        <v>377</v>
      </c>
      <c r="D171" s="43" t="s">
        <v>29</v>
      </c>
      <c r="E171" s="134" t="s">
        <v>378</v>
      </c>
      <c r="F171" s="33">
        <f>IFERROR(__xludf.DUMMYFUNCTION("IMPORTRANGE(""https://docs.google.com/spreadsheets/d/1mkXiGqjbNtqvOEWZzNFByz5W39tvmCidNg1Wc2fuxd8/edit?usp=drivesdk"",""3857!Z2"")"),8.0)</f>
        <v>8</v>
      </c>
      <c r="G171" s="127">
        <f>IFERROR(__xludf.DUMMYFUNCTION("IMPORTRANGE(""https://docs.google.com/spreadsheets/d/13et8RWBJNlvkYNcpjdmRkc7-wKp2x494wJXKZaKyaWE/edit?usp=drivesdk"",""3857!Z2"")"),42.0)</f>
        <v>42</v>
      </c>
      <c r="H171" s="157">
        <f>IFERROR(__xludf.DUMMYFUNCTION("IMPORTRANGE(""https://docs.google.com/spreadsheets/d/1DP4qPAi-kFl5WNfDx48jC0sBkEBYiUD9mmjsu-SE6aQ/edit?usp=drivesdk"",""3857!Z2"")"),8.0)</f>
        <v>8</v>
      </c>
      <c r="I171" s="128">
        <f>IFERROR(__xludf.DUMMYFUNCTION("IMPORTRANGE(""https://docs.google.com/spreadsheets/d/1fLxjJj2aUARqretaKi-EiflYh-8Z8twBzy22tl-i0Dg/edit?gid=0#gid=0"",""3857!Z2"")"),0.0)</f>
        <v>0</v>
      </c>
      <c r="J171" s="128">
        <f>IFERROR(__xludf.DUMMYFUNCTION("IMPORTRANGE(""https://docs.google.com/spreadsheets/d/1fLxjJj2aUARqretaKi-EiflYh-8Z8twBzy22tl-i0Dg/edit?usp=drivesdk"",""3857!Z2"")"),0.0)</f>
        <v>0</v>
      </c>
      <c r="K171" s="128">
        <f>IFERROR(__xludf.DUMMYFUNCTION("IMPORTRANGE(""https://docs.google.com/spreadsheets/d/1Bv-wBw4Oqdap8zRv7KGVkW3XauvLaU-_gtnmzdrt5SI/edit?usp=drivesdk"",""3857!Z2"")"),4.0)</f>
        <v>4</v>
      </c>
      <c r="L171" s="128">
        <f>IFERROR(__xludf.DUMMYFUNCTION("IMPORTRANGE(""https://docs.google.com/spreadsheets/d/1UxNeQMFFy4z9g7Y-MDrnJW1SwlaR4iRgB934VavfMuc/edit?usp=drivesdk"",""3857!Z2"")"),1.0)</f>
        <v>1</v>
      </c>
      <c r="M171" s="128">
        <f>IFERROR(__xludf.DUMMYFUNCTION("IMPORTRANGE(""https://docs.google.com/spreadsheets/d/1qWYgiCDAe3aXYeZUMGW6S-sTxbJKVv8dgq2XAtCE2bo/edit?usp=drivesdk"",""3857!Z2"")"),0.0)</f>
        <v>0</v>
      </c>
      <c r="N171" s="135"/>
      <c r="O171" s="41">
        <f t="shared" si="5"/>
        <v>103</v>
      </c>
      <c r="P171" s="59" t="s">
        <v>118</v>
      </c>
      <c r="Q171" s="104"/>
      <c r="R171" s="108"/>
      <c r="S171" s="108">
        <v>40.0</v>
      </c>
      <c r="T171" s="104"/>
      <c r="U171" s="47">
        <f t="shared" si="4"/>
        <v>60</v>
      </c>
      <c r="V171" s="104"/>
      <c r="W171" s="104"/>
      <c r="X171" s="136"/>
      <c r="Y171" s="158">
        <v>60.0</v>
      </c>
      <c r="Z171" s="133"/>
    </row>
    <row r="172">
      <c r="B172" s="53">
        <v>6703858.0</v>
      </c>
      <c r="C172" s="124" t="s">
        <v>379</v>
      </c>
      <c r="D172" s="43" t="s">
        <v>29</v>
      </c>
      <c r="E172" s="134" t="s">
        <v>380</v>
      </c>
      <c r="F172" s="33">
        <f>IFERROR(__xludf.DUMMYFUNCTION("IMPORTRANGE(""https://docs.google.com/spreadsheets/d/1mkXiGqjbNtqvOEWZzNFByz5W39tvmCidNg1Wc2fuxd8/edit?usp=drivesdk"",""3858!Z2"")"),0.0)</f>
        <v>0</v>
      </c>
      <c r="G172" s="127">
        <f>IFERROR(__xludf.DUMMYFUNCTION("IMPORTRANGE(""https://docs.google.com/spreadsheets/d/13et8RWBJNlvkYNcpjdmRkc7-wKp2x494wJXKZaKyaWE/edit?usp=drivesdk"",""3858!Z2"")"),34.0)</f>
        <v>34</v>
      </c>
      <c r="H172" s="157">
        <f>IFERROR(__xludf.DUMMYFUNCTION("IMPORTRANGE(""https://docs.google.com/spreadsheets/d/1DP4qPAi-kFl5WNfDx48jC0sBkEBYiUD9mmjsu-SE6aQ/edit?usp=drivesdk"",""3858!Z2"")"),18.0)</f>
        <v>18</v>
      </c>
      <c r="I172" s="128">
        <f>IFERROR(__xludf.DUMMYFUNCTION("IMPORTRANGE(""https://docs.google.com/spreadsheets/d/1fLxjJj2aUARqretaKi-EiflYh-8Z8twBzy22tl-i0Dg/edit?gid=0#gid=0"",""3858!Z2"")"),0.0)</f>
        <v>0</v>
      </c>
      <c r="J172" s="128">
        <f>IFERROR(__xludf.DUMMYFUNCTION("IMPORTRANGE(""https://docs.google.com/spreadsheets/d/1fLxjJj2aUARqretaKi-EiflYh-8Z8twBzy22tl-i0Dg/edit?usp=drivesdk"",""3858!Z2"")"),0.0)</f>
        <v>0</v>
      </c>
      <c r="K172" s="128">
        <f>IFERROR(__xludf.DUMMYFUNCTION("IMPORTRANGE(""https://docs.google.com/spreadsheets/d/1Bv-wBw4Oqdap8zRv7KGVkW3XauvLaU-_gtnmzdrt5SI/edit?usp=drivesdk"",""3858!Z2"")"),0.0)</f>
        <v>0</v>
      </c>
      <c r="L172" s="128">
        <f>IFERROR(__xludf.DUMMYFUNCTION("IMPORTRANGE(""https://docs.google.com/spreadsheets/d/1UxNeQMFFy4z9g7Y-MDrnJW1SwlaR4iRgB934VavfMuc/edit?usp=drivesdk"",""3858!Z2"")"),0.0)</f>
        <v>0</v>
      </c>
      <c r="M172" s="128">
        <f>IFERROR(__xludf.DUMMYFUNCTION("IMPORTRANGE(""https://docs.google.com/spreadsheets/d/1qWYgiCDAe3aXYeZUMGW6S-sTxbJKVv8dgq2XAtCE2bo/edit?usp=drivesdk"",""3858!Z2"")"),0.0)</f>
        <v>0</v>
      </c>
      <c r="N172" s="135"/>
      <c r="O172" s="41">
        <f t="shared" si="5"/>
        <v>52</v>
      </c>
      <c r="P172" s="44"/>
      <c r="Q172" s="104"/>
      <c r="R172" s="108"/>
      <c r="S172" s="108"/>
      <c r="T172" s="104"/>
      <c r="U172" s="47">
        <f t="shared" si="4"/>
        <v>57</v>
      </c>
      <c r="V172" s="104"/>
      <c r="W172" s="104"/>
      <c r="X172" s="136"/>
      <c r="Y172" s="138">
        <v>57.0</v>
      </c>
      <c r="Z172" s="133"/>
    </row>
    <row r="173">
      <c r="B173" s="53">
        <v>6703859.0</v>
      </c>
      <c r="C173" s="124" t="s">
        <v>381</v>
      </c>
      <c r="D173" s="43" t="s">
        <v>29</v>
      </c>
      <c r="E173" s="134" t="s">
        <v>382</v>
      </c>
      <c r="F173" s="33">
        <f>IFERROR(__xludf.DUMMYFUNCTION("IMPORTRANGE(""https://docs.google.com/spreadsheets/d/1mkXiGqjbNtqvOEWZzNFByz5W39tvmCidNg1Wc2fuxd8/edit?usp=drivesdk"",""3859!Z2"")"),0.0)</f>
        <v>0</v>
      </c>
      <c r="G173" s="127">
        <f>IFERROR(__xludf.DUMMYFUNCTION("IMPORTRANGE(""https://docs.google.com/spreadsheets/d/13et8RWBJNlvkYNcpjdmRkc7-wKp2x494wJXKZaKyaWE/edit?usp=drivesdk"",""3859!Z2"")"),32.0)</f>
        <v>32</v>
      </c>
      <c r="H173" s="157">
        <f>IFERROR(__xludf.DUMMYFUNCTION("IMPORTRANGE(""https://docs.google.com/spreadsheets/d/1DP4qPAi-kFl5WNfDx48jC0sBkEBYiUD9mmjsu-SE6aQ/edit?usp=drivesdk"",""3859!Z2"")"),18.0)</f>
        <v>18</v>
      </c>
      <c r="I173" s="128">
        <f>IFERROR(__xludf.DUMMYFUNCTION("IMPORTRANGE(""https://docs.google.com/spreadsheets/d/1fLxjJj2aUARqretaKi-EiflYh-8Z8twBzy22tl-i0Dg/edit?gid=0#gid=0"",""3859!Z2"")"),0.0)</f>
        <v>0</v>
      </c>
      <c r="J173" s="128">
        <f>IFERROR(__xludf.DUMMYFUNCTION("IMPORTRANGE(""https://docs.google.com/spreadsheets/d/1fLxjJj2aUARqretaKi-EiflYh-8Z8twBzy22tl-i0Dg/edit?usp=drivesdk"",""3859!Z2"")"),0.0)</f>
        <v>0</v>
      </c>
      <c r="K173" s="128">
        <f>IFERROR(__xludf.DUMMYFUNCTION("IMPORTRANGE(""https://docs.google.com/spreadsheets/d/1Bv-wBw4Oqdap8zRv7KGVkW3XauvLaU-_gtnmzdrt5SI/edit?usp=drivesdk"",""3859!Z2"")"),0.0)</f>
        <v>0</v>
      </c>
      <c r="L173" s="128">
        <f>IFERROR(__xludf.DUMMYFUNCTION("IMPORTRANGE(""https://docs.google.com/spreadsheets/d/1UxNeQMFFy4z9g7Y-MDrnJW1SwlaR4iRgB934VavfMuc/edit?usp=drivesdk"",""3859!Z2"")"),0.0)</f>
        <v>0</v>
      </c>
      <c r="M173" s="128">
        <f>IFERROR(__xludf.DUMMYFUNCTION("IMPORTRANGE(""https://docs.google.com/spreadsheets/d/1qWYgiCDAe3aXYeZUMGW6S-sTxbJKVv8dgq2XAtCE2bo/edit?usp=drivesdk"",""3859!Z2"")"),1.0)</f>
        <v>1</v>
      </c>
      <c r="N173" s="135"/>
      <c r="O173" s="41">
        <f t="shared" si="5"/>
        <v>51</v>
      </c>
      <c r="P173" s="44"/>
      <c r="Q173" s="104"/>
      <c r="R173" s="108"/>
      <c r="S173" s="108"/>
      <c r="T173" s="104"/>
      <c r="U173" s="47">
        <f t="shared" si="4"/>
        <v>58</v>
      </c>
      <c r="V173" s="104"/>
      <c r="W173" s="104"/>
      <c r="X173" s="136"/>
      <c r="Y173" s="138">
        <v>58.0</v>
      </c>
      <c r="Z173" s="133"/>
    </row>
    <row r="174">
      <c r="B174" s="53">
        <v>6703860.0</v>
      </c>
      <c r="C174" s="124" t="s">
        <v>383</v>
      </c>
      <c r="D174" s="43" t="s">
        <v>29</v>
      </c>
      <c r="E174" s="134" t="s">
        <v>384</v>
      </c>
      <c r="F174" s="33">
        <f>IFERROR(__xludf.DUMMYFUNCTION("IMPORTRANGE(""https://docs.google.com/spreadsheets/d/1mkXiGqjbNtqvOEWZzNFByz5W39tvmCidNg1Wc2fuxd8/edit?usp=drivesdk"",""3860!Z2"")"),0.0)</f>
        <v>0</v>
      </c>
      <c r="G174" s="127">
        <f>IFERROR(__xludf.DUMMYFUNCTION("IMPORTRANGE(""https://docs.google.com/spreadsheets/d/13et8RWBJNlvkYNcpjdmRkc7-wKp2x494wJXKZaKyaWE/edit?usp=drivesdk"",""3860!Z2"")"),28.0)</f>
        <v>28</v>
      </c>
      <c r="H174" s="157">
        <f>IFERROR(__xludf.DUMMYFUNCTION("IMPORTRANGE(""https://docs.google.com/spreadsheets/d/1DP4qPAi-kFl5WNfDx48jC0sBkEBYiUD9mmjsu-SE6aQ/edit?usp=drivesdk"",""3860!Z2"")"),25.0)</f>
        <v>25</v>
      </c>
      <c r="I174" s="128">
        <f>IFERROR(__xludf.DUMMYFUNCTION("IMPORTRANGE(""https://docs.google.com/spreadsheets/d/1fLxjJj2aUARqretaKi-EiflYh-8Z8twBzy22tl-i0Dg/edit?gid=0#gid=0"",""3860!Z2"")"),0.0)</f>
        <v>0</v>
      </c>
      <c r="J174" s="128">
        <f>IFERROR(__xludf.DUMMYFUNCTION("IMPORTRANGE(""https://docs.google.com/spreadsheets/d/1fLxjJj2aUARqretaKi-EiflYh-8Z8twBzy22tl-i0Dg/edit?usp=drivesdk"",""3860!Z2"")"),0.0)</f>
        <v>0</v>
      </c>
      <c r="K174" s="128">
        <f>IFERROR(__xludf.DUMMYFUNCTION("IMPORTRANGE(""https://docs.google.com/spreadsheets/d/1Bv-wBw4Oqdap8zRv7KGVkW3XauvLaU-_gtnmzdrt5SI/edit?usp=drivesdk"",""3860!Z2"")"),0.0)</f>
        <v>0</v>
      </c>
      <c r="L174" s="128">
        <f>IFERROR(__xludf.DUMMYFUNCTION("IMPORTRANGE(""https://docs.google.com/spreadsheets/d/1UxNeQMFFy4z9g7Y-MDrnJW1SwlaR4iRgB934VavfMuc/edit?usp=drivesdk"",""3860!Z2"")"),0.0)</f>
        <v>0</v>
      </c>
      <c r="M174" s="128">
        <f>IFERROR(__xludf.DUMMYFUNCTION("IMPORTRANGE(""https://docs.google.com/spreadsheets/d/1qWYgiCDAe3aXYeZUMGW6S-sTxbJKVv8dgq2XAtCE2bo/edit?usp=drivesdk"",""3860!Z2"")"),0.0)</f>
        <v>0</v>
      </c>
      <c r="N174" s="135"/>
      <c r="O174" s="41">
        <f t="shared" si="5"/>
        <v>53</v>
      </c>
      <c r="P174" s="44"/>
      <c r="Q174" s="104"/>
      <c r="R174" s="108"/>
      <c r="S174" s="108"/>
      <c r="T174" s="104"/>
      <c r="U174" s="47">
        <f t="shared" si="4"/>
        <v>53</v>
      </c>
      <c r="V174" s="104"/>
      <c r="W174" s="104"/>
      <c r="X174" s="136"/>
      <c r="Y174" s="138">
        <v>53.0</v>
      </c>
      <c r="Z174" s="133"/>
    </row>
    <row r="175">
      <c r="B175" s="53">
        <v>6703861.0</v>
      </c>
      <c r="C175" s="124" t="s">
        <v>385</v>
      </c>
      <c r="D175" s="43" t="s">
        <v>29</v>
      </c>
      <c r="E175" s="134" t="s">
        <v>386</v>
      </c>
      <c r="F175" s="33">
        <f>IFERROR(__xludf.DUMMYFUNCTION("IMPORTRANGE(""https://docs.google.com/spreadsheets/d/1mkXiGqjbNtqvOEWZzNFByz5W39tvmCidNg1Wc2fuxd8/edit?usp=drivesdk"",""3861!Z2"")"),8.0)</f>
        <v>8</v>
      </c>
      <c r="G175" s="127">
        <f>IFERROR(__xludf.DUMMYFUNCTION("IMPORTRANGE(""https://docs.google.com/spreadsheets/d/13et8RWBJNlvkYNcpjdmRkc7-wKp2x494wJXKZaKyaWE/edit?usp=drivesdk"",""3861!Z2"")"),52.0)</f>
        <v>52</v>
      </c>
      <c r="H175" s="157">
        <f>IFERROR(__xludf.DUMMYFUNCTION("IMPORTRANGE(""https://docs.google.com/spreadsheets/d/1DP4qPAi-kFl5WNfDx48jC0sBkEBYiUD9mmjsu-SE6aQ/edit?usp=drivesdk"",""3861!Z2"")"),8.0)</f>
        <v>8</v>
      </c>
      <c r="I175" s="128">
        <f>IFERROR(__xludf.DUMMYFUNCTION("IMPORTRANGE(""https://docs.google.com/spreadsheets/d/1fLxjJj2aUARqretaKi-EiflYh-8Z8twBzy22tl-i0Dg/edit?gid=0#gid=0"",""3861!Z2"")"),0.0)</f>
        <v>0</v>
      </c>
      <c r="J175" s="128">
        <f>IFERROR(__xludf.DUMMYFUNCTION("IMPORTRANGE(""https://docs.google.com/spreadsheets/d/1fLxjJj2aUARqretaKi-EiflYh-8Z8twBzy22tl-i0Dg/edit?usp=drivesdk"",""3861!Z2"")"),0.0)</f>
        <v>0</v>
      </c>
      <c r="K175" s="128">
        <f>IFERROR(__xludf.DUMMYFUNCTION("IMPORTRANGE(""https://docs.google.com/spreadsheets/d/1Bv-wBw4Oqdap8zRv7KGVkW3XauvLaU-_gtnmzdrt5SI/edit?usp=drivesdk"",""3861!Z2"")"),0.0)</f>
        <v>0</v>
      </c>
      <c r="L175" s="128">
        <f>IFERROR(__xludf.DUMMYFUNCTION("IMPORTRANGE(""https://docs.google.com/spreadsheets/d/1UxNeQMFFy4z9g7Y-MDrnJW1SwlaR4iRgB934VavfMuc/edit?usp=drivesdk"",""3861!Z2"")"),0.0)</f>
        <v>0</v>
      </c>
      <c r="M175" s="128">
        <f>IFERROR(__xludf.DUMMYFUNCTION("IMPORTRANGE(""https://docs.google.com/spreadsheets/d/1qWYgiCDAe3aXYeZUMGW6S-sTxbJKVv8dgq2XAtCE2bo/edit?usp=drivesdk"",""3861!Z2"")"),1.0)</f>
        <v>1</v>
      </c>
      <c r="N175" s="135"/>
      <c r="O175" s="41">
        <f t="shared" si="5"/>
        <v>69</v>
      </c>
      <c r="P175" s="44"/>
      <c r="Q175" s="104"/>
      <c r="R175" s="108"/>
      <c r="S175" s="108"/>
      <c r="T175" s="104"/>
      <c r="U175" s="47">
        <f t="shared" si="4"/>
        <v>63</v>
      </c>
      <c r="V175" s="104"/>
      <c r="W175" s="104"/>
      <c r="X175" s="136"/>
      <c r="Y175" s="138">
        <v>63.0</v>
      </c>
      <c r="Z175" s="133"/>
    </row>
    <row r="176">
      <c r="B176" s="53">
        <v>6703862.0</v>
      </c>
      <c r="C176" s="124" t="s">
        <v>387</v>
      </c>
      <c r="D176" s="43" t="s">
        <v>29</v>
      </c>
      <c r="E176" s="134" t="s">
        <v>388</v>
      </c>
      <c r="F176" s="33">
        <f>IFERROR(__xludf.DUMMYFUNCTION("IMPORTRANGE(""https://docs.google.com/spreadsheets/d/1mkXiGqjbNtqvOEWZzNFByz5W39tvmCidNg1Wc2fuxd8/edit?usp=drivesdk"",""3862!Z2"")"),0.0)</f>
        <v>0</v>
      </c>
      <c r="G176" s="127">
        <f>IFERROR(__xludf.DUMMYFUNCTION("IMPORTRANGE(""https://docs.google.com/spreadsheets/d/13et8RWBJNlvkYNcpjdmRkc7-wKp2x494wJXKZaKyaWE/edit?usp=drivesdk"",""3862!Z2"")"),40.0)</f>
        <v>40</v>
      </c>
      <c r="H176" s="157">
        <f>IFERROR(__xludf.DUMMYFUNCTION("IMPORTRANGE(""https://docs.google.com/spreadsheets/d/1DP4qPAi-kFl5WNfDx48jC0sBkEBYiUD9mmjsu-SE6aQ/edit?usp=drivesdk"",""3862!Z2"")"),3.0)</f>
        <v>3</v>
      </c>
      <c r="I176" s="128">
        <f>IFERROR(__xludf.DUMMYFUNCTION("IMPORTRANGE(""https://docs.google.com/spreadsheets/d/1fLxjJj2aUARqretaKi-EiflYh-8Z8twBzy22tl-i0Dg/edit?gid=0#gid=0"",""3862!Z2"")"),0.0)</f>
        <v>0</v>
      </c>
      <c r="J176" s="128">
        <f>IFERROR(__xludf.DUMMYFUNCTION("IMPORTRANGE(""https://docs.google.com/spreadsheets/d/1fLxjJj2aUARqretaKi-EiflYh-8Z8twBzy22tl-i0Dg/edit?usp=drivesdk"",""3862!Z2"")"),0.0)</f>
        <v>0</v>
      </c>
      <c r="K176" s="128">
        <f>IFERROR(__xludf.DUMMYFUNCTION("IMPORTRANGE(""https://docs.google.com/spreadsheets/d/1Bv-wBw4Oqdap8zRv7KGVkW3XauvLaU-_gtnmzdrt5SI/edit?usp=drivesdk"",""3862!Z2"")"),0.0)</f>
        <v>0</v>
      </c>
      <c r="L176" s="128">
        <f>IFERROR(__xludf.DUMMYFUNCTION("IMPORTRANGE(""https://docs.google.com/spreadsheets/d/1UxNeQMFFy4z9g7Y-MDrnJW1SwlaR4iRgB934VavfMuc/edit?usp=drivesdk"",""3862!Z2"")"),0.0)</f>
        <v>0</v>
      </c>
      <c r="M176" s="128">
        <f>IFERROR(__xludf.DUMMYFUNCTION("IMPORTRANGE(""https://docs.google.com/spreadsheets/d/1qWYgiCDAe3aXYeZUMGW6S-sTxbJKVv8dgq2XAtCE2bo/edit?usp=drivesdk"",""3862!Z2"")"),0.0)</f>
        <v>0</v>
      </c>
      <c r="N176" s="135"/>
      <c r="O176" s="41">
        <f t="shared" si="5"/>
        <v>83</v>
      </c>
      <c r="P176" s="59" t="s">
        <v>332</v>
      </c>
      <c r="Q176" s="104"/>
      <c r="R176" s="108"/>
      <c r="S176" s="108">
        <v>40.0</v>
      </c>
      <c r="T176" s="104"/>
      <c r="U176" s="47">
        <f t="shared" si="4"/>
        <v>55</v>
      </c>
      <c r="V176" s="104"/>
      <c r="W176" s="104"/>
      <c r="X176" s="136"/>
      <c r="Y176" s="159">
        <v>55.0</v>
      </c>
      <c r="Z176" s="133"/>
    </row>
    <row r="177">
      <c r="B177" s="53">
        <v>6703863.0</v>
      </c>
      <c r="C177" s="124" t="s">
        <v>389</v>
      </c>
      <c r="D177" s="43" t="s">
        <v>29</v>
      </c>
      <c r="E177" s="134" t="s">
        <v>390</v>
      </c>
      <c r="F177" s="33">
        <f>IFERROR(__xludf.DUMMYFUNCTION("IMPORTRANGE(""https://docs.google.com/spreadsheets/d/1mkXiGqjbNtqvOEWZzNFByz5W39tvmCidNg1Wc2fuxd8/edit?usp=drivesdk"",""3863!Z2"")"),0.0)</f>
        <v>0</v>
      </c>
      <c r="G177" s="127">
        <f>IFERROR(__xludf.DUMMYFUNCTION("IMPORTRANGE(""https://docs.google.com/spreadsheets/d/13et8RWBJNlvkYNcpjdmRkc7-wKp2x494wJXKZaKyaWE/edit?usp=drivesdk"",""3863!Z2"")"),56.0)</f>
        <v>56</v>
      </c>
      <c r="H177" s="157">
        <f>IFERROR(__xludf.DUMMYFUNCTION("IMPORTRANGE(""https://docs.google.com/spreadsheets/d/1DP4qPAi-kFl5WNfDx48jC0sBkEBYiUD9mmjsu-SE6aQ/edit?usp=drivesdk"",""3863!Z2"")"),11.0)</f>
        <v>11</v>
      </c>
      <c r="I177" s="128">
        <f>IFERROR(__xludf.DUMMYFUNCTION("IMPORTRANGE(""https://docs.google.com/spreadsheets/d/1fLxjJj2aUARqretaKi-EiflYh-8Z8twBzy22tl-i0Dg/edit?gid=0#gid=0"",""3863!Z2"")"),0.0)</f>
        <v>0</v>
      </c>
      <c r="J177" s="128">
        <f>IFERROR(__xludf.DUMMYFUNCTION("IMPORTRANGE(""https://docs.google.com/spreadsheets/d/1fLxjJj2aUARqretaKi-EiflYh-8Z8twBzy22tl-i0Dg/edit?usp=drivesdk"",""3863!Z2"")"),0.0)</f>
        <v>0</v>
      </c>
      <c r="K177" s="128">
        <f>IFERROR(__xludf.DUMMYFUNCTION("IMPORTRANGE(""https://docs.google.com/spreadsheets/d/1Bv-wBw4Oqdap8zRv7KGVkW3XauvLaU-_gtnmzdrt5SI/edit?usp=drivesdk"",""3863!Z2"")"),0.0)</f>
        <v>0</v>
      </c>
      <c r="L177" s="128">
        <f>IFERROR(__xludf.DUMMYFUNCTION("IMPORTRANGE(""https://docs.google.com/spreadsheets/d/1UxNeQMFFy4z9g7Y-MDrnJW1SwlaR4iRgB934VavfMuc/edit?usp=drivesdk"",""3863!Z2"")"),0.0)</f>
        <v>0</v>
      </c>
      <c r="M177" s="128">
        <f>IFERROR(__xludf.DUMMYFUNCTION("IMPORTRANGE(""https://docs.google.com/spreadsheets/d/1qWYgiCDAe3aXYeZUMGW6S-sTxbJKVv8dgq2XAtCE2bo/edit?usp=drivesdk"",""3863!Z2"")"),0.0)</f>
        <v>0</v>
      </c>
      <c r="N177" s="135"/>
      <c r="O177" s="41">
        <f t="shared" si="5"/>
        <v>107</v>
      </c>
      <c r="P177" s="59" t="s">
        <v>118</v>
      </c>
      <c r="Q177" s="104"/>
      <c r="R177" s="108"/>
      <c r="S177" s="108">
        <v>40.0</v>
      </c>
      <c r="T177" s="104"/>
      <c r="U177" s="47">
        <f t="shared" si="4"/>
        <v>77</v>
      </c>
      <c r="V177" s="104"/>
      <c r="W177" s="104"/>
      <c r="X177" s="136"/>
      <c r="Y177" s="158">
        <v>77.0</v>
      </c>
      <c r="Z177" s="133"/>
    </row>
    <row r="178">
      <c r="B178" s="53">
        <v>6703864.0</v>
      </c>
      <c r="C178" s="124" t="s">
        <v>391</v>
      </c>
      <c r="D178" s="43" t="s">
        <v>29</v>
      </c>
      <c r="E178" s="134" t="s">
        <v>392</v>
      </c>
      <c r="F178" s="33">
        <f>IFERROR(__xludf.DUMMYFUNCTION("IMPORTRANGE(""https://docs.google.com/spreadsheets/d/1mkXiGqjbNtqvOEWZzNFByz5W39tvmCidNg1Wc2fuxd8/edit?usp=drivesdk"",""3864!Z2"")"),0.0)</f>
        <v>0</v>
      </c>
      <c r="G178" s="127">
        <f>IFERROR(__xludf.DUMMYFUNCTION("IMPORTRANGE(""https://docs.google.com/spreadsheets/d/13et8RWBJNlvkYNcpjdmRkc7-wKp2x494wJXKZaKyaWE/edit?usp=drivesdk"",""3864!Z2"")"),68.0)</f>
        <v>68</v>
      </c>
      <c r="H178" s="157">
        <f>IFERROR(__xludf.DUMMYFUNCTION("IMPORTRANGE(""https://docs.google.com/spreadsheets/d/1DP4qPAi-kFl5WNfDx48jC0sBkEBYiUD9mmjsu-SE6aQ/edit?usp=drivesdk"",""3864!Z2"")"),11.0)</f>
        <v>11</v>
      </c>
      <c r="I178" s="128">
        <f>IFERROR(__xludf.DUMMYFUNCTION("IMPORTRANGE(""https://docs.google.com/spreadsheets/d/1fLxjJj2aUARqretaKi-EiflYh-8Z8twBzy22tl-i0Dg/edit?gid=0#gid=0"",""3864!Z2"")"),0.0)</f>
        <v>0</v>
      </c>
      <c r="J178" s="128">
        <f>IFERROR(__xludf.DUMMYFUNCTION("IMPORTRANGE(""https://docs.google.com/spreadsheets/d/1fLxjJj2aUARqretaKi-EiflYh-8Z8twBzy22tl-i0Dg/edit?usp=drivesdk"",""3864!Z2"")"),0.0)</f>
        <v>0</v>
      </c>
      <c r="K178" s="128">
        <f>IFERROR(__xludf.DUMMYFUNCTION("IMPORTRANGE(""https://docs.google.com/spreadsheets/d/1Bv-wBw4Oqdap8zRv7KGVkW3XauvLaU-_gtnmzdrt5SI/edit?usp=drivesdk"",""3864!Z2"")"),0.0)</f>
        <v>0</v>
      </c>
      <c r="L178" s="128">
        <f>IFERROR(__xludf.DUMMYFUNCTION("IMPORTRANGE(""https://docs.google.com/spreadsheets/d/1UxNeQMFFy4z9g7Y-MDrnJW1SwlaR4iRgB934VavfMuc/edit?usp=drivesdk"",""3864!Z2"")"),0.0)</f>
        <v>0</v>
      </c>
      <c r="M178" s="128">
        <f>IFERROR(__xludf.DUMMYFUNCTION("IMPORTRANGE(""https://docs.google.com/spreadsheets/d/1qWYgiCDAe3aXYeZUMGW6S-sTxbJKVv8dgq2XAtCE2bo/edit?usp=drivesdk"",""3864!Z2"")"),0.0)</f>
        <v>0</v>
      </c>
      <c r="N178" s="135"/>
      <c r="O178" s="41">
        <f t="shared" si="5"/>
        <v>119</v>
      </c>
      <c r="P178" s="59" t="s">
        <v>332</v>
      </c>
      <c r="Q178" s="104"/>
      <c r="R178" s="108"/>
      <c r="S178" s="108">
        <v>40.0</v>
      </c>
      <c r="T178" s="104"/>
      <c r="U178" s="47">
        <f t="shared" si="4"/>
        <v>104</v>
      </c>
      <c r="V178" s="104"/>
      <c r="W178" s="104"/>
      <c r="X178" s="136"/>
      <c r="Y178" s="160">
        <v>104.0</v>
      </c>
      <c r="Z178" s="133"/>
    </row>
    <row r="179">
      <c r="B179" s="53">
        <v>6703865.0</v>
      </c>
      <c r="C179" s="124" t="s">
        <v>393</v>
      </c>
      <c r="D179" s="43" t="s">
        <v>29</v>
      </c>
      <c r="E179" s="134" t="s">
        <v>394</v>
      </c>
      <c r="F179" s="33">
        <f>IFERROR(__xludf.DUMMYFUNCTION("IMPORTRANGE(""https://docs.google.com/spreadsheets/d/1mkXiGqjbNtqvOEWZzNFByz5W39tvmCidNg1Wc2fuxd8/edit?usp=drivesdk"",""3865!Z2"")"),0.0)</f>
        <v>0</v>
      </c>
      <c r="G179" s="127">
        <f>IFERROR(__xludf.DUMMYFUNCTION("IMPORTRANGE(""https://docs.google.com/spreadsheets/d/13et8RWBJNlvkYNcpjdmRkc7-wKp2x494wJXKZaKyaWE/edit?usp=drivesdk"",""3865!Z2"")"),65.0)</f>
        <v>65</v>
      </c>
      <c r="H179" s="157">
        <f>IFERROR(__xludf.DUMMYFUNCTION("IMPORTRANGE(""https://docs.google.com/spreadsheets/d/1DP4qPAi-kFl5WNfDx48jC0sBkEBYiUD9mmjsu-SE6aQ/edit?usp=drivesdk"",""3865!Z2"")"),8.0)</f>
        <v>8</v>
      </c>
      <c r="I179" s="128">
        <f>IFERROR(__xludf.DUMMYFUNCTION("IMPORTRANGE(""https://docs.google.com/spreadsheets/d/1fLxjJj2aUARqretaKi-EiflYh-8Z8twBzy22tl-i0Dg/edit?gid=0#gid=0"",""3865!Z2"")"),0.0)</f>
        <v>0</v>
      </c>
      <c r="J179" s="128">
        <f>IFERROR(__xludf.DUMMYFUNCTION("IMPORTRANGE(""https://docs.google.com/spreadsheets/d/1fLxjJj2aUARqretaKi-EiflYh-8Z8twBzy22tl-i0Dg/edit?usp=drivesdk"",""3865!Z2"")"),0.0)</f>
        <v>0</v>
      </c>
      <c r="K179" s="128">
        <f>IFERROR(__xludf.DUMMYFUNCTION("IMPORTRANGE(""https://docs.google.com/spreadsheets/d/1Bv-wBw4Oqdap8zRv7KGVkW3XauvLaU-_gtnmzdrt5SI/edit?usp=drivesdk"",""3865!Z2"")"),0.0)</f>
        <v>0</v>
      </c>
      <c r="L179" s="128">
        <f>IFERROR(__xludf.DUMMYFUNCTION("IMPORTRANGE(""https://docs.google.com/spreadsheets/d/1UxNeQMFFy4z9g7Y-MDrnJW1SwlaR4iRgB934VavfMuc/edit?usp=drivesdk"",""3865!Z2"")"),0.0)</f>
        <v>0</v>
      </c>
      <c r="M179" s="128">
        <f>IFERROR(__xludf.DUMMYFUNCTION("IMPORTRANGE(""https://docs.google.com/spreadsheets/d/1qWYgiCDAe3aXYeZUMGW6S-sTxbJKVv8dgq2XAtCE2bo/edit?usp=drivesdk"",""3865!Z2"")"),0.0)</f>
        <v>0</v>
      </c>
      <c r="N179" s="135"/>
      <c r="O179" s="41">
        <f t="shared" si="5"/>
        <v>73</v>
      </c>
      <c r="P179" s="44"/>
      <c r="Q179" s="104"/>
      <c r="R179" s="108"/>
      <c r="S179" s="108"/>
      <c r="T179" s="104"/>
      <c r="U179" s="47">
        <f t="shared" si="4"/>
        <v>57</v>
      </c>
      <c r="V179" s="104"/>
      <c r="W179" s="104"/>
      <c r="X179" s="136"/>
      <c r="Y179" s="138">
        <v>57.0</v>
      </c>
      <c r="Z179" s="133"/>
    </row>
    <row r="180">
      <c r="B180" s="53">
        <v>6703866.0</v>
      </c>
      <c r="C180" s="124" t="s">
        <v>395</v>
      </c>
      <c r="D180" s="43" t="s">
        <v>29</v>
      </c>
      <c r="E180" s="134" t="s">
        <v>396</v>
      </c>
      <c r="F180" s="33">
        <f>IFERROR(__xludf.DUMMYFUNCTION("IMPORTRANGE(""https://docs.google.com/spreadsheets/d/1mkXiGqjbNtqvOEWZzNFByz5W39tvmCidNg1Wc2fuxd8/edit?usp=drivesdk"",""3866!Z2"")"),0.0)</f>
        <v>0</v>
      </c>
      <c r="G180" s="127">
        <f>IFERROR(__xludf.DUMMYFUNCTION("IMPORTRANGE(""https://docs.google.com/spreadsheets/d/13et8RWBJNlvkYNcpjdmRkc7-wKp2x494wJXKZaKyaWE/edit?usp=drivesdk"",""3866!Z2"")"),80.0)</f>
        <v>80</v>
      </c>
      <c r="H180" s="157">
        <f>IFERROR(__xludf.DUMMYFUNCTION("IMPORTRANGE(""https://docs.google.com/spreadsheets/d/1DP4qPAi-kFl5WNfDx48jC0sBkEBYiUD9mmjsu-SE6aQ/edit?usp=drivesdk"",""3866!Z2"")"),12.0)</f>
        <v>12</v>
      </c>
      <c r="I180" s="128">
        <f>IFERROR(__xludf.DUMMYFUNCTION("IMPORTRANGE(""https://docs.google.com/spreadsheets/d/1fLxjJj2aUARqretaKi-EiflYh-8Z8twBzy22tl-i0Dg/edit?gid=0#gid=0"",""3866!Z2"")"),0.0)</f>
        <v>0</v>
      </c>
      <c r="J180" s="128">
        <f>IFERROR(__xludf.DUMMYFUNCTION("IMPORTRANGE(""https://docs.google.com/spreadsheets/d/1fLxjJj2aUARqretaKi-EiflYh-8Z8twBzy22tl-i0Dg/edit?usp=drivesdk"",""3866!Z2"")"),0.0)</f>
        <v>0</v>
      </c>
      <c r="K180" s="128">
        <f>IFERROR(__xludf.DUMMYFUNCTION("IMPORTRANGE(""https://docs.google.com/spreadsheets/d/1Bv-wBw4Oqdap8zRv7KGVkW3XauvLaU-_gtnmzdrt5SI/edit?usp=drivesdk"",""3866!Z2"")"),0.0)</f>
        <v>0</v>
      </c>
      <c r="L180" s="128">
        <f>IFERROR(__xludf.DUMMYFUNCTION("IMPORTRANGE(""https://docs.google.com/spreadsheets/d/1UxNeQMFFy4z9g7Y-MDrnJW1SwlaR4iRgB934VavfMuc/edit?usp=drivesdk"",""3866!Z2"")"),0.0)</f>
        <v>0</v>
      </c>
      <c r="M180" s="128">
        <f>IFERROR(__xludf.DUMMYFUNCTION("IMPORTRANGE(""https://docs.google.com/spreadsheets/d/1qWYgiCDAe3aXYeZUMGW6S-sTxbJKVv8dgq2XAtCE2bo/edit?usp=drivesdk"",""3866!Z2"")"),0.0)</f>
        <v>0</v>
      </c>
      <c r="N180" s="135"/>
      <c r="O180" s="41">
        <f t="shared" si="5"/>
        <v>92</v>
      </c>
      <c r="P180" s="44"/>
      <c r="Q180" s="104"/>
      <c r="R180" s="108"/>
      <c r="S180" s="108"/>
      <c r="T180" s="104"/>
      <c r="U180" s="47">
        <f t="shared" si="4"/>
        <v>78</v>
      </c>
      <c r="V180" s="104"/>
      <c r="W180" s="104"/>
      <c r="X180" s="136"/>
      <c r="Y180" s="138">
        <v>78.0</v>
      </c>
      <c r="Z180" s="133"/>
    </row>
    <row r="181">
      <c r="B181" s="53">
        <v>6703867.0</v>
      </c>
      <c r="C181" s="124" t="s">
        <v>397</v>
      </c>
      <c r="D181" s="43" t="s">
        <v>29</v>
      </c>
      <c r="E181" s="134" t="s">
        <v>398</v>
      </c>
      <c r="F181" s="33">
        <f>IFERROR(__xludf.DUMMYFUNCTION("IMPORTRANGE(""https://docs.google.com/spreadsheets/d/1mkXiGqjbNtqvOEWZzNFByz5W39tvmCidNg1Wc2fuxd8/edit?usp=drivesdk"",""3867!Z2"")"),8.0)</f>
        <v>8</v>
      </c>
      <c r="G181" s="127">
        <f>IFERROR(__xludf.DUMMYFUNCTION("IMPORTRANGE(""https://docs.google.com/spreadsheets/d/13et8RWBJNlvkYNcpjdmRkc7-wKp2x494wJXKZaKyaWE/edit?usp=drivesdk"",""3867!Z2"")"),94.0)</f>
        <v>94</v>
      </c>
      <c r="H181" s="157">
        <f>IFERROR(__xludf.DUMMYFUNCTION("IMPORTRANGE(""https://docs.google.com/spreadsheets/d/1DP4qPAi-kFl5WNfDx48jC0sBkEBYiUD9mmjsu-SE6aQ/edit?usp=drivesdk"",""3867!Z2"")"),35.0)</f>
        <v>35</v>
      </c>
      <c r="I181" s="128">
        <f>IFERROR(__xludf.DUMMYFUNCTION("IMPORTRANGE(""https://docs.google.com/spreadsheets/d/1fLxjJj2aUARqretaKi-EiflYh-8Z8twBzy22tl-i0Dg/edit?gid=0#gid=0"",""3867!Z2"")"),0.0)</f>
        <v>0</v>
      </c>
      <c r="J181" s="128">
        <f>IFERROR(__xludf.DUMMYFUNCTION("IMPORTRANGE(""https://docs.google.com/spreadsheets/d/1fLxjJj2aUARqretaKi-EiflYh-8Z8twBzy22tl-i0Dg/edit?usp=drivesdk"",""3867!Z2"")"),0.0)</f>
        <v>0</v>
      </c>
      <c r="K181" s="128">
        <f>IFERROR(__xludf.DUMMYFUNCTION("IMPORTRANGE(""https://docs.google.com/spreadsheets/d/1Bv-wBw4Oqdap8zRv7KGVkW3XauvLaU-_gtnmzdrt5SI/edit?usp=drivesdk"",""3867!Z2"")"),0.0)</f>
        <v>0</v>
      </c>
      <c r="L181" s="128">
        <f>IFERROR(__xludf.DUMMYFUNCTION("IMPORTRANGE(""https://docs.google.com/spreadsheets/d/1UxNeQMFFy4z9g7Y-MDrnJW1SwlaR4iRgB934VavfMuc/edit?usp=drivesdk"",""3867!Z2"")"),0.0)</f>
        <v>0</v>
      </c>
      <c r="M181" s="128">
        <f>IFERROR(__xludf.DUMMYFUNCTION("IMPORTRANGE(""https://docs.google.com/spreadsheets/d/1qWYgiCDAe3aXYeZUMGW6S-sTxbJKVv8dgq2XAtCE2bo/edit?usp=drivesdk"",""3867!Z2"")"),0.0)</f>
        <v>0</v>
      </c>
      <c r="N181" s="135"/>
      <c r="O181" s="41">
        <f t="shared" si="5"/>
        <v>137</v>
      </c>
      <c r="P181" s="44"/>
      <c r="Q181" s="104"/>
      <c r="R181" s="108"/>
      <c r="S181" s="108"/>
      <c r="T181" s="104"/>
      <c r="U181" s="47">
        <f t="shared" si="4"/>
        <v>117</v>
      </c>
      <c r="V181" s="104"/>
      <c r="W181" s="104"/>
      <c r="X181" s="136"/>
      <c r="Y181" s="138">
        <v>117.0</v>
      </c>
      <c r="Z181" s="133"/>
    </row>
    <row r="182">
      <c r="B182" s="53">
        <v>6703868.0</v>
      </c>
      <c r="C182" s="124" t="s">
        <v>399</v>
      </c>
      <c r="D182" s="43" t="s">
        <v>29</v>
      </c>
      <c r="E182" s="134" t="s">
        <v>400</v>
      </c>
      <c r="F182" s="33">
        <f>IFERROR(__xludf.DUMMYFUNCTION("IMPORTRANGE(""https://docs.google.com/spreadsheets/d/1mkXiGqjbNtqvOEWZzNFByz5W39tvmCidNg1Wc2fuxd8/edit?usp=drivesdk"",""3868!Z2"")"),8.0)</f>
        <v>8</v>
      </c>
      <c r="G182" s="127">
        <f>IFERROR(__xludf.DUMMYFUNCTION("IMPORTRANGE(""https://docs.google.com/spreadsheets/d/13et8RWBJNlvkYNcpjdmRkc7-wKp2x494wJXKZaKyaWE/edit?usp=drivesdk"",""3868!Z2"")"),40.0)</f>
        <v>40</v>
      </c>
      <c r="H182" s="157">
        <f>IFERROR(__xludf.DUMMYFUNCTION("IMPORTRANGE(""https://docs.google.com/spreadsheets/d/1DP4qPAi-kFl5WNfDx48jC0sBkEBYiUD9mmjsu-SE6aQ/edit?usp=drivesdk"",""3868!Z2"")"),27.0)</f>
        <v>27</v>
      </c>
      <c r="I182" s="128">
        <f>IFERROR(__xludf.DUMMYFUNCTION("IMPORTRANGE(""https://docs.google.com/spreadsheets/d/1fLxjJj2aUARqretaKi-EiflYh-8Z8twBzy22tl-i0Dg/edit?gid=0#gid=0"",""3868!Z2"")"),0.0)</f>
        <v>0</v>
      </c>
      <c r="J182" s="128">
        <f>IFERROR(__xludf.DUMMYFUNCTION("IMPORTRANGE(""https://docs.google.com/spreadsheets/d/1fLxjJj2aUARqretaKi-EiflYh-8Z8twBzy22tl-i0Dg/edit?usp=drivesdk"",""3868!Z2"")"),0.0)</f>
        <v>0</v>
      </c>
      <c r="K182" s="128">
        <f>IFERROR(__xludf.DUMMYFUNCTION("IMPORTRANGE(""https://docs.google.com/spreadsheets/d/1Bv-wBw4Oqdap8zRv7KGVkW3XauvLaU-_gtnmzdrt5SI/edit?usp=drivesdk"",""3868!Z2"")"),0.0)</f>
        <v>0</v>
      </c>
      <c r="L182" s="128">
        <f>IFERROR(__xludf.DUMMYFUNCTION("IMPORTRANGE(""https://docs.google.com/spreadsheets/d/1UxNeQMFFy4z9g7Y-MDrnJW1SwlaR4iRgB934VavfMuc/edit?usp=drivesdk"",""3868!Z2"")"),0.0)</f>
        <v>0</v>
      </c>
      <c r="M182" s="128">
        <f>IFERROR(__xludf.DUMMYFUNCTION("IMPORTRANGE(""https://docs.google.com/spreadsheets/d/1qWYgiCDAe3aXYeZUMGW6S-sTxbJKVv8dgq2XAtCE2bo/edit?usp=drivesdk"",""3868!Z2"")"),0.0)</f>
        <v>0</v>
      </c>
      <c r="N182" s="135"/>
      <c r="O182" s="41">
        <f t="shared" si="5"/>
        <v>75</v>
      </c>
      <c r="P182" s="44"/>
      <c r="Q182" s="104"/>
      <c r="R182" s="108"/>
      <c r="S182" s="108"/>
      <c r="T182" s="104"/>
      <c r="U182" s="47">
        <f t="shared" si="4"/>
        <v>57</v>
      </c>
      <c r="V182" s="104"/>
      <c r="W182" s="104"/>
      <c r="X182" s="136"/>
      <c r="Y182" s="138">
        <v>57.0</v>
      </c>
      <c r="Z182" s="133"/>
    </row>
    <row r="183">
      <c r="B183" s="53">
        <v>6703869.0</v>
      </c>
      <c r="C183" s="124" t="s">
        <v>401</v>
      </c>
      <c r="D183" s="43" t="s">
        <v>29</v>
      </c>
      <c r="E183" s="134" t="s">
        <v>402</v>
      </c>
      <c r="F183" s="33">
        <f>IFERROR(__xludf.DUMMYFUNCTION("IMPORTRANGE(""https://docs.google.com/spreadsheets/d/1mkXiGqjbNtqvOEWZzNFByz5W39tvmCidNg1Wc2fuxd8/edit?usp=drivesdk"",""3869!Z2"")"),0.0)</f>
        <v>0</v>
      </c>
      <c r="G183" s="127">
        <f>IFERROR(__xludf.DUMMYFUNCTION("IMPORTRANGE(""https://docs.google.com/spreadsheets/d/13et8RWBJNlvkYNcpjdmRkc7-wKp2x494wJXKZaKyaWE/edit?usp=drivesdk"",""3869!Z2"")"),121.0)</f>
        <v>121</v>
      </c>
      <c r="H183" s="157">
        <f>IFERROR(__xludf.DUMMYFUNCTION("IMPORTRANGE(""https://docs.google.com/spreadsheets/d/1DP4qPAi-kFl5WNfDx48jC0sBkEBYiUD9mmjsu-SE6aQ/edit?usp=drivesdk"",""3869!Z2"")"),39.0)</f>
        <v>39</v>
      </c>
      <c r="I183" s="128">
        <f>IFERROR(__xludf.DUMMYFUNCTION("IMPORTRANGE(""https://docs.google.com/spreadsheets/d/1fLxjJj2aUARqretaKi-EiflYh-8Z8twBzy22tl-i0Dg/edit?gid=0#gid=0"",""3869!Z2"")"),0.0)</f>
        <v>0</v>
      </c>
      <c r="J183" s="128">
        <f>IFERROR(__xludf.DUMMYFUNCTION("IMPORTRANGE(""https://docs.google.com/spreadsheets/d/1fLxjJj2aUARqretaKi-EiflYh-8Z8twBzy22tl-i0Dg/edit?usp=drivesdk"",""3869!Z2"")"),0.0)</f>
        <v>0</v>
      </c>
      <c r="K183" s="128">
        <f>IFERROR(__xludf.DUMMYFUNCTION("IMPORTRANGE(""https://docs.google.com/spreadsheets/d/1Bv-wBw4Oqdap8zRv7KGVkW3XauvLaU-_gtnmzdrt5SI/edit?usp=drivesdk"",""3869!Z2"")"),0.0)</f>
        <v>0</v>
      </c>
      <c r="L183" s="128">
        <f>IFERROR(__xludf.DUMMYFUNCTION("IMPORTRANGE(""https://docs.google.com/spreadsheets/d/1UxNeQMFFy4z9g7Y-MDrnJW1SwlaR4iRgB934VavfMuc/edit?usp=drivesdk"",""3869!Z2"")"),0.0)</f>
        <v>0</v>
      </c>
      <c r="M183" s="128">
        <f>IFERROR(__xludf.DUMMYFUNCTION("IMPORTRANGE(""https://docs.google.com/spreadsheets/d/1qWYgiCDAe3aXYeZUMGW6S-sTxbJKVv8dgq2XAtCE2bo/edit?usp=drivesdk"",""3869!Z2"")"),0.0)</f>
        <v>0</v>
      </c>
      <c r="N183" s="135"/>
      <c r="O183" s="41">
        <f t="shared" si="5"/>
        <v>160</v>
      </c>
      <c r="P183" s="44"/>
      <c r="Q183" s="104"/>
      <c r="R183" s="108"/>
      <c r="S183" s="108"/>
      <c r="T183" s="104"/>
      <c r="U183" s="47">
        <f t="shared" si="4"/>
        <v>108</v>
      </c>
      <c r="V183" s="104"/>
      <c r="W183" s="104"/>
      <c r="X183" s="136"/>
      <c r="Y183" s="138">
        <v>108.0</v>
      </c>
      <c r="Z183" s="133"/>
    </row>
    <row r="184">
      <c r="B184" s="53">
        <v>6703870.0</v>
      </c>
      <c r="C184" s="124" t="s">
        <v>403</v>
      </c>
      <c r="D184" s="43" t="s">
        <v>29</v>
      </c>
      <c r="E184" s="134" t="s">
        <v>404</v>
      </c>
      <c r="F184" s="33">
        <f>IFERROR(__xludf.DUMMYFUNCTION("IMPORTRANGE(""https://docs.google.com/spreadsheets/d/1mkXiGqjbNtqvOEWZzNFByz5W39tvmCidNg1Wc2fuxd8/edit?usp=drivesdk"",""3840!Z2"")"),0.0)</f>
        <v>0</v>
      </c>
      <c r="G184" s="127">
        <f>IFERROR(__xludf.DUMMYFUNCTION("IMPORTRANGE(""https://docs.google.com/spreadsheets/d/13et8RWBJNlvkYNcpjdmRkc7-wKp2x494wJXKZaKyaWE/edit?usp=drivesdk"",""3870!Z2"")"),60.0)</f>
        <v>60</v>
      </c>
      <c r="H184" s="157">
        <f>IFERROR(__xludf.DUMMYFUNCTION("IMPORTRANGE(""https://docs.google.com/spreadsheets/d/1DP4qPAi-kFl5WNfDx48jC0sBkEBYiUD9mmjsu-SE6aQ/edit?usp=drivesdk"",""3870!Z2"")"),35.0)</f>
        <v>35</v>
      </c>
      <c r="I184" s="128">
        <f>IFERROR(__xludf.DUMMYFUNCTION("IMPORTRANGE(""https://docs.google.com/spreadsheets/d/1fLxjJj2aUARqretaKi-EiflYh-8Z8twBzy22tl-i0Dg/edit?gid=0#gid=0"",""3870!Z2"")"),0.0)</f>
        <v>0</v>
      </c>
      <c r="J184" s="128">
        <f>IFERROR(__xludf.DUMMYFUNCTION("IMPORTRANGE(""https://docs.google.com/spreadsheets/d/1fLxjJj2aUARqretaKi-EiflYh-8Z8twBzy22tl-i0Dg/edit?usp=drivesdk"",""3870!Z2"")"),0.0)</f>
        <v>0</v>
      </c>
      <c r="K184" s="128">
        <f>IFERROR(__xludf.DUMMYFUNCTION("IMPORTRANGE(""https://docs.google.com/spreadsheets/d/1Bv-wBw4Oqdap8zRv7KGVkW3XauvLaU-_gtnmzdrt5SI/edit?usp=drivesdk"",""3870!Z2"")"),0.0)</f>
        <v>0</v>
      </c>
      <c r="L184" s="128">
        <f>IFERROR(__xludf.DUMMYFUNCTION("IMPORTRANGE(""https://docs.google.com/spreadsheets/d/1UxNeQMFFy4z9g7Y-MDrnJW1SwlaR4iRgB934VavfMuc/edit?usp=drivesdk"",""3870!Z2"")"),0.0)</f>
        <v>0</v>
      </c>
      <c r="M184" s="128">
        <f>IFERROR(__xludf.DUMMYFUNCTION("IMPORTRANGE(""https://docs.google.com/spreadsheets/d/1qWYgiCDAe3aXYeZUMGW6S-sTxbJKVv8dgq2XAtCE2bo/edit?usp=drivesdk"",""3870!Z2"")"),0.0)</f>
        <v>0</v>
      </c>
      <c r="N184" s="135"/>
      <c r="O184" s="41">
        <f t="shared" si="5"/>
        <v>95</v>
      </c>
      <c r="P184" s="44"/>
      <c r="Q184" s="104"/>
      <c r="R184" s="108"/>
      <c r="S184" s="108"/>
      <c r="T184" s="104"/>
      <c r="U184" s="47">
        <f t="shared" si="4"/>
        <v>106</v>
      </c>
      <c r="V184" s="104"/>
      <c r="W184" s="104"/>
      <c r="X184" s="136"/>
      <c r="Y184" s="138">
        <v>106.0</v>
      </c>
      <c r="Z184" s="133"/>
    </row>
    <row r="185">
      <c r="B185" s="140">
        <v>6703871.0</v>
      </c>
      <c r="C185" s="141" t="s">
        <v>405</v>
      </c>
      <c r="D185" s="142" t="s">
        <v>29</v>
      </c>
      <c r="E185" s="143" t="s">
        <v>406</v>
      </c>
      <c r="F185" s="144"/>
      <c r="G185" s="145"/>
      <c r="H185" s="161"/>
      <c r="I185" s="147"/>
      <c r="J185" s="147"/>
      <c r="K185" s="147"/>
      <c r="L185" s="147"/>
      <c r="M185" s="147"/>
      <c r="N185" s="146"/>
      <c r="O185" s="148"/>
      <c r="P185" s="149"/>
      <c r="Q185" s="150"/>
      <c r="R185" s="151"/>
      <c r="S185" s="151"/>
      <c r="T185" s="150"/>
      <c r="U185" s="152"/>
      <c r="V185" s="150"/>
      <c r="W185" s="150"/>
      <c r="X185" s="153"/>
      <c r="Y185" s="154">
        <v>0.0</v>
      </c>
      <c r="Z185" s="133"/>
    </row>
    <row r="186">
      <c r="B186" s="53">
        <v>6703872.0</v>
      </c>
      <c r="C186" s="124" t="s">
        <v>407</v>
      </c>
      <c r="D186" s="43" t="s">
        <v>29</v>
      </c>
      <c r="E186" s="134" t="s">
        <v>408</v>
      </c>
      <c r="F186" s="33">
        <f>IFERROR(__xludf.DUMMYFUNCTION("IMPORTRANGE(""https://docs.google.com/spreadsheets/d/1mkXiGqjbNtqvOEWZzNFByz5W39tvmCidNg1Wc2fuxd8/edit?usp=drivesdk"",""3872!Z2"")"),0.0)</f>
        <v>0</v>
      </c>
      <c r="G186" s="127">
        <f>IFERROR(__xludf.DUMMYFUNCTION("IMPORTRANGE(""https://docs.google.com/spreadsheets/d/13et8RWBJNlvkYNcpjdmRkc7-wKp2x494wJXKZaKyaWE/edit?usp=drivesdk"",""3872!Z2"")"),114.0)</f>
        <v>114</v>
      </c>
      <c r="H186" s="157">
        <f>IFERROR(__xludf.DUMMYFUNCTION("IMPORTRANGE(""https://docs.google.com/spreadsheets/d/1DP4qPAi-kFl5WNfDx48jC0sBkEBYiUD9mmjsu-SE6aQ/edit?usp=drivesdk"",""3872!Z2"")"),37.0)</f>
        <v>37</v>
      </c>
      <c r="I186" s="128">
        <f>IFERROR(__xludf.DUMMYFUNCTION("IMPORTRANGE(""https://docs.google.com/spreadsheets/d/1fLxjJj2aUARqretaKi-EiflYh-8Z8twBzy22tl-i0Dg/edit?gid=0#gid=0"",""3872!Z2"")"),0.0)</f>
        <v>0</v>
      </c>
      <c r="J186" s="128">
        <f>IFERROR(__xludf.DUMMYFUNCTION("IMPORTRANGE(""https://docs.google.com/spreadsheets/d/1fLxjJj2aUARqretaKi-EiflYh-8Z8twBzy22tl-i0Dg/edit?usp=drivesdk"",""3872!Z2"")"),0.0)</f>
        <v>0</v>
      </c>
      <c r="K186" s="128">
        <f>IFERROR(__xludf.DUMMYFUNCTION("IMPORTRANGE(""https://docs.google.com/spreadsheets/d/1Bv-wBw4Oqdap8zRv7KGVkW3XauvLaU-_gtnmzdrt5SI/edit?usp=drivesdk"",""3872!Z2"")"),0.0)</f>
        <v>0</v>
      </c>
      <c r="L186" s="128">
        <f>IFERROR(__xludf.DUMMYFUNCTION("IMPORTRANGE(""https://docs.google.com/spreadsheets/d/1UxNeQMFFy4z9g7Y-MDrnJW1SwlaR4iRgB934VavfMuc/edit?usp=drivesdk"",""3872!Z2"")"),0.0)</f>
        <v>0</v>
      </c>
      <c r="M186" s="128">
        <f>IFERROR(__xludf.DUMMYFUNCTION("IMPORTRANGE(""https://docs.google.com/spreadsheets/d/1qWYgiCDAe3aXYeZUMGW6S-sTxbJKVv8dgq2XAtCE2bo/edit?usp=drivesdk"",""3872!Z2"")"),0.0)</f>
        <v>0</v>
      </c>
      <c r="N186" s="135"/>
      <c r="O186" s="41">
        <f t="shared" ref="O186:O259" si="6">SUM(F186:M186,R186,S186,T186)</f>
        <v>151</v>
      </c>
      <c r="P186" s="44"/>
      <c r="Q186" s="104"/>
      <c r="R186" s="108"/>
      <c r="S186" s="108"/>
      <c r="T186" s="104"/>
      <c r="U186" s="47">
        <f t="shared" ref="U186:U259" si="7">sum(X186:Y186)</f>
        <v>115</v>
      </c>
      <c r="V186" s="104"/>
      <c r="W186" s="104"/>
      <c r="X186" s="136"/>
      <c r="Y186" s="162">
        <v>115.0</v>
      </c>
      <c r="Z186" s="133"/>
    </row>
    <row r="187">
      <c r="B187" s="53">
        <v>6703873.0</v>
      </c>
      <c r="C187" s="124" t="s">
        <v>409</v>
      </c>
      <c r="D187" s="43" t="s">
        <v>29</v>
      </c>
      <c r="E187" s="134" t="s">
        <v>410</v>
      </c>
      <c r="F187" s="33">
        <f>IFERROR(__xludf.DUMMYFUNCTION("IMPORTRANGE(""https://docs.google.com/spreadsheets/d/1mkXiGqjbNtqvOEWZzNFByz5W39tvmCidNg1Wc2fuxd8/edit?usp=drivesdk"",""3873!Z2"")"),8.0)</f>
        <v>8</v>
      </c>
      <c r="G187" s="127">
        <f>IFERROR(__xludf.DUMMYFUNCTION("IMPORTRANGE(""https://docs.google.com/spreadsheets/d/13et8RWBJNlvkYNcpjdmRkc7-wKp2x494wJXKZaKyaWE/edit?usp=drivesdk"",""3873!Z2"")"),76.0)</f>
        <v>76</v>
      </c>
      <c r="H187" s="157">
        <f>IFERROR(__xludf.DUMMYFUNCTION("IMPORTRANGE(""https://docs.google.com/spreadsheets/d/1DP4qPAi-kFl5WNfDx48jC0sBkEBYiUD9mmjsu-SE6aQ/edit?usp=drivesdk"",""3873!Z2"")"),3.0)</f>
        <v>3</v>
      </c>
      <c r="I187" s="128">
        <f>IFERROR(__xludf.DUMMYFUNCTION("IMPORTRANGE(""https://docs.google.com/spreadsheets/d/1fLxjJj2aUARqretaKi-EiflYh-8Z8twBzy22tl-i0Dg/edit?gid=0#gid=0"",""3873!Z2"")"),0.0)</f>
        <v>0</v>
      </c>
      <c r="J187" s="128">
        <f>IFERROR(__xludf.DUMMYFUNCTION("IMPORTRANGE(""https://docs.google.com/spreadsheets/d/1fLxjJj2aUARqretaKi-EiflYh-8Z8twBzy22tl-i0Dg/edit?usp=drivesdk"",""3873!Z2"")"),0.0)</f>
        <v>0</v>
      </c>
      <c r="K187" s="128">
        <f>IFERROR(__xludf.DUMMYFUNCTION("IMPORTRANGE(""https://docs.google.com/spreadsheets/d/1Bv-wBw4Oqdap8zRv7KGVkW3XauvLaU-_gtnmzdrt5SI/edit?usp=drivesdk"",""3873!Z2"")"),0.0)</f>
        <v>0</v>
      </c>
      <c r="L187" s="128">
        <f>IFERROR(__xludf.DUMMYFUNCTION("IMPORTRANGE(""https://docs.google.com/spreadsheets/d/1UxNeQMFFy4z9g7Y-MDrnJW1SwlaR4iRgB934VavfMuc/edit?usp=drivesdk"",""3873!Z2"")"),0.0)</f>
        <v>0</v>
      </c>
      <c r="M187" s="128">
        <f>IFERROR(__xludf.DUMMYFUNCTION("IMPORTRANGE(""https://docs.google.com/spreadsheets/d/1qWYgiCDAe3aXYeZUMGW6S-sTxbJKVv8dgq2XAtCE2bo/edit?usp=drivesdk"",""3873!Z2"")"),0.0)</f>
        <v>0</v>
      </c>
      <c r="N187" s="135"/>
      <c r="O187" s="41">
        <f t="shared" si="6"/>
        <v>87</v>
      </c>
      <c r="P187" s="44"/>
      <c r="Q187" s="104"/>
      <c r="R187" s="108"/>
      <c r="S187" s="108"/>
      <c r="T187" s="104"/>
      <c r="U187" s="47">
        <f t="shared" si="7"/>
        <v>78</v>
      </c>
      <c r="V187" s="104"/>
      <c r="W187" s="104"/>
      <c r="X187" s="136"/>
      <c r="Y187" s="138">
        <v>78.0</v>
      </c>
      <c r="Z187" s="133"/>
    </row>
    <row r="188">
      <c r="B188" s="53">
        <v>6703874.0</v>
      </c>
      <c r="C188" s="124" t="s">
        <v>411</v>
      </c>
      <c r="D188" s="43" t="s">
        <v>29</v>
      </c>
      <c r="E188" s="134" t="s">
        <v>412</v>
      </c>
      <c r="F188" s="33">
        <f>IFERROR(__xludf.DUMMYFUNCTION("IMPORTRANGE(""https://docs.google.com/spreadsheets/d/1mkXiGqjbNtqvOEWZzNFByz5W39tvmCidNg1Wc2fuxd8/edit?usp=drivesdk"",""3874!Z2"")"),0.0)</f>
        <v>0</v>
      </c>
      <c r="G188" s="127">
        <f>IFERROR(__xludf.DUMMYFUNCTION("IMPORTRANGE(""https://docs.google.com/spreadsheets/d/13et8RWBJNlvkYNcpjdmRkc7-wKp2x494wJXKZaKyaWE/edit?usp=drivesdk"",""3874!Z2"")"),92.0)</f>
        <v>92</v>
      </c>
      <c r="H188" s="157">
        <f>IFERROR(__xludf.DUMMYFUNCTION("IMPORTRANGE(""https://docs.google.com/spreadsheets/d/1DP4qPAi-kFl5WNfDx48jC0sBkEBYiUD9mmjsu-SE6aQ/edit?usp=drivesdk"",""3874!Z2"")"),9.0)</f>
        <v>9</v>
      </c>
      <c r="I188" s="128">
        <f>IFERROR(__xludf.DUMMYFUNCTION("IMPORTRANGE(""https://docs.google.com/spreadsheets/d/1fLxjJj2aUARqretaKi-EiflYh-8Z8twBzy22tl-i0Dg/edit?gid=0#gid=0"",""3874!Z2"")"),0.0)</f>
        <v>0</v>
      </c>
      <c r="J188" s="128">
        <f>IFERROR(__xludf.DUMMYFUNCTION("IMPORTRANGE(""https://docs.google.com/spreadsheets/d/1fLxjJj2aUARqretaKi-EiflYh-8Z8twBzy22tl-i0Dg/edit?usp=drivesdk"",""3874!Z2"")"),0.0)</f>
        <v>0</v>
      </c>
      <c r="K188" s="128">
        <f>IFERROR(__xludf.DUMMYFUNCTION("IMPORTRANGE(""https://docs.google.com/spreadsheets/d/1Bv-wBw4Oqdap8zRv7KGVkW3XauvLaU-_gtnmzdrt5SI/edit?usp=drivesdk"",""3874!Z2"")"),0.0)</f>
        <v>0</v>
      </c>
      <c r="L188" s="128">
        <f>IFERROR(__xludf.DUMMYFUNCTION("IMPORTRANGE(""https://docs.google.com/spreadsheets/d/1UxNeQMFFy4z9g7Y-MDrnJW1SwlaR4iRgB934VavfMuc/edit?usp=drivesdk"",""3874!Z2"")"),0.0)</f>
        <v>0</v>
      </c>
      <c r="M188" s="128">
        <f>IFERROR(__xludf.DUMMYFUNCTION("IMPORTRANGE(""https://docs.google.com/spreadsheets/d/1qWYgiCDAe3aXYeZUMGW6S-sTxbJKVv8dgq2XAtCE2bo/edit?usp=drivesdk"",""3874!Z2"")"),0.0)</f>
        <v>0</v>
      </c>
      <c r="N188" s="135"/>
      <c r="O188" s="41">
        <f t="shared" si="6"/>
        <v>101</v>
      </c>
      <c r="P188" s="44"/>
      <c r="Q188" s="104"/>
      <c r="R188" s="108"/>
      <c r="S188" s="108"/>
      <c r="T188" s="104"/>
      <c r="U188" s="47">
        <f t="shared" si="7"/>
        <v>85</v>
      </c>
      <c r="V188" s="104"/>
      <c r="W188" s="104"/>
      <c r="X188" s="136"/>
      <c r="Y188" s="138">
        <v>85.0</v>
      </c>
      <c r="Z188" s="133"/>
    </row>
    <row r="189">
      <c r="B189" s="53">
        <v>6703875.0</v>
      </c>
      <c r="C189" s="124" t="s">
        <v>413</v>
      </c>
      <c r="D189" s="43" t="s">
        <v>29</v>
      </c>
      <c r="E189" s="134" t="s">
        <v>414</v>
      </c>
      <c r="F189" s="33">
        <f>IFERROR(__xludf.DUMMYFUNCTION("IMPORTRANGE(""https://docs.google.com/spreadsheets/d/1mkXiGqjbNtqvOEWZzNFByz5W39tvmCidNg1Wc2fuxd8/edit?usp=drivesdk"",""3875!Z2"")"),16.0)</f>
        <v>16</v>
      </c>
      <c r="G189" s="127">
        <f>IFERROR(__xludf.DUMMYFUNCTION("IMPORTRANGE(""https://docs.google.com/spreadsheets/d/13et8RWBJNlvkYNcpjdmRkc7-wKp2x494wJXKZaKyaWE/edit?usp=drivesdk"",""3875!Z2"")"),68.0)</f>
        <v>68</v>
      </c>
      <c r="H189" s="157">
        <f>IFERROR(__xludf.DUMMYFUNCTION("IMPORTRANGE(""https://docs.google.com/spreadsheets/d/1DP4qPAi-kFl5WNfDx48jC0sBkEBYiUD9mmjsu-SE6aQ/edit?usp=drivesdk"",""3875!Z2"")"),32.0)</f>
        <v>32</v>
      </c>
      <c r="I189" s="128">
        <f>IFERROR(__xludf.DUMMYFUNCTION("IMPORTRANGE(""https://docs.google.com/spreadsheets/d/1fLxjJj2aUARqretaKi-EiflYh-8Z8twBzy22tl-i0Dg/edit?gid=0#gid=0"",""3875!Z2"")"),0.0)</f>
        <v>0</v>
      </c>
      <c r="J189" s="128">
        <f>IFERROR(__xludf.DUMMYFUNCTION("IMPORTRANGE(""https://docs.google.com/spreadsheets/d/1fLxjJj2aUARqretaKi-EiflYh-8Z8twBzy22tl-i0Dg/edit?usp=drivesdk"",""3875!Z2"")"),0.0)</f>
        <v>0</v>
      </c>
      <c r="K189" s="128">
        <f>IFERROR(__xludf.DUMMYFUNCTION("IMPORTRANGE(""https://docs.google.com/spreadsheets/d/1Bv-wBw4Oqdap8zRv7KGVkW3XauvLaU-_gtnmzdrt5SI/edit?usp=drivesdk"",""3875!Z2"")"),0.0)</f>
        <v>0</v>
      </c>
      <c r="L189" s="128">
        <f>IFERROR(__xludf.DUMMYFUNCTION("IMPORTRANGE(""https://docs.google.com/spreadsheets/d/1UxNeQMFFy4z9g7Y-MDrnJW1SwlaR4iRgB934VavfMuc/edit?usp=drivesdk"",""3875!Z2"")"),0.0)</f>
        <v>0</v>
      </c>
      <c r="M189" s="128">
        <f>IFERROR(__xludf.DUMMYFUNCTION("IMPORTRANGE(""https://docs.google.com/spreadsheets/d/1qWYgiCDAe3aXYeZUMGW6S-sTxbJKVv8dgq2XAtCE2bo/edit?usp=drivesdk"",""3875!Z2"")"),0.0)</f>
        <v>0</v>
      </c>
      <c r="N189" s="135"/>
      <c r="O189" s="41">
        <f t="shared" si="6"/>
        <v>116</v>
      </c>
      <c r="P189" s="44"/>
      <c r="Q189" s="104"/>
      <c r="R189" s="108"/>
      <c r="S189" s="108"/>
      <c r="T189" s="104"/>
      <c r="U189" s="47">
        <f t="shared" si="7"/>
        <v>68</v>
      </c>
      <c r="V189" s="104"/>
      <c r="W189" s="104"/>
      <c r="X189" s="136"/>
      <c r="Y189" s="138">
        <v>68.0</v>
      </c>
      <c r="Z189" s="133"/>
    </row>
    <row r="190">
      <c r="B190" s="53">
        <v>6703876.0</v>
      </c>
      <c r="C190" s="124" t="s">
        <v>415</v>
      </c>
      <c r="D190" s="43" t="s">
        <v>29</v>
      </c>
      <c r="E190" s="134" t="s">
        <v>416</v>
      </c>
      <c r="F190" s="33">
        <f>IFERROR(__xludf.DUMMYFUNCTION("IMPORTRANGE(""https://docs.google.com/spreadsheets/d/1mkXiGqjbNtqvOEWZzNFByz5W39tvmCidNg1Wc2fuxd8/edit?usp=drivesdk"",""3876!Z2"")"),0.0)</f>
        <v>0</v>
      </c>
      <c r="G190" s="127">
        <f>IFERROR(__xludf.DUMMYFUNCTION("IMPORTRANGE(""https://docs.google.com/spreadsheets/d/13et8RWBJNlvkYNcpjdmRkc7-wKp2x494wJXKZaKyaWE/edit?usp=drivesdk"",""3876!Z2"")"),0.0)</f>
        <v>0</v>
      </c>
      <c r="H190" s="157">
        <f>IFERROR(__xludf.DUMMYFUNCTION("IMPORTRANGE(""https://docs.google.com/spreadsheets/d/1DP4qPAi-kFl5WNfDx48jC0sBkEBYiUD9mmjsu-SE6aQ/edit?usp=drivesdk"",""3876!Z2"")"),8.0)</f>
        <v>8</v>
      </c>
      <c r="I190" s="128">
        <f>IFERROR(__xludf.DUMMYFUNCTION("IMPORTRANGE(""https://docs.google.com/spreadsheets/d/1fLxjJj2aUARqretaKi-EiflYh-8Z8twBzy22tl-i0Dg/edit?gid=0#gid=0"",""3876!Z2"")"),0.0)</f>
        <v>0</v>
      </c>
      <c r="J190" s="128">
        <f>IFERROR(__xludf.DUMMYFUNCTION("IMPORTRANGE(""https://docs.google.com/spreadsheets/d/1fLxjJj2aUARqretaKi-EiflYh-8Z8twBzy22tl-i0Dg/edit?usp=drivesdk"",""3876!Z2"")"),0.0)</f>
        <v>0</v>
      </c>
      <c r="K190" s="128">
        <f>IFERROR(__xludf.DUMMYFUNCTION("IMPORTRANGE(""https://docs.google.com/spreadsheets/d/1Bv-wBw4Oqdap8zRv7KGVkW3XauvLaU-_gtnmzdrt5SI/edit?usp=drivesdk"",""3876!Z2"")"),0.0)</f>
        <v>0</v>
      </c>
      <c r="L190" s="128">
        <f>IFERROR(__xludf.DUMMYFUNCTION("IMPORTRANGE(""https://docs.google.com/spreadsheets/d/1UxNeQMFFy4z9g7Y-MDrnJW1SwlaR4iRgB934VavfMuc/edit?usp=drivesdk"",""3876!Z2"")"),0.0)</f>
        <v>0</v>
      </c>
      <c r="M190" s="128">
        <f>IFERROR(__xludf.DUMMYFUNCTION("IMPORTRANGE(""https://docs.google.com/spreadsheets/d/1qWYgiCDAe3aXYeZUMGW6S-sTxbJKVv8dgq2XAtCE2bo/edit?usp=drivesdk"",""3876!Z2"")"),8.0)</f>
        <v>8</v>
      </c>
      <c r="N190" s="135"/>
      <c r="O190" s="41">
        <f t="shared" si="6"/>
        <v>56</v>
      </c>
      <c r="P190" s="59" t="s">
        <v>42</v>
      </c>
      <c r="Q190" s="104"/>
      <c r="R190" s="108"/>
      <c r="S190" s="108">
        <v>40.0</v>
      </c>
      <c r="T190" s="104"/>
      <c r="U190" s="47">
        <f t="shared" si="7"/>
        <v>75</v>
      </c>
      <c r="V190" s="104"/>
      <c r="W190" s="104"/>
      <c r="X190" s="136"/>
      <c r="Y190" s="132">
        <v>75.0</v>
      </c>
      <c r="Z190" s="133"/>
    </row>
    <row r="191">
      <c r="B191" s="53">
        <v>6703877.0</v>
      </c>
      <c r="C191" s="124" t="s">
        <v>417</v>
      </c>
      <c r="D191" s="43" t="s">
        <v>29</v>
      </c>
      <c r="E191" s="134" t="s">
        <v>418</v>
      </c>
      <c r="F191" s="33">
        <f>IFERROR(__xludf.DUMMYFUNCTION("IMPORTRANGE(""https://docs.google.com/spreadsheets/d/1mkXiGqjbNtqvOEWZzNFByz5W39tvmCidNg1Wc2fuxd8/edit?usp=drivesdk"",""3877!Z2"")"),8.0)</f>
        <v>8</v>
      </c>
      <c r="G191" s="127">
        <f>IFERROR(__xludf.DUMMYFUNCTION("IMPORTRANGE(""https://docs.google.com/spreadsheets/d/13et8RWBJNlvkYNcpjdmRkc7-wKp2x494wJXKZaKyaWE/edit?usp=drivesdk"",""3877!Z2"")"),88.0)</f>
        <v>88</v>
      </c>
      <c r="H191" s="157">
        <f>IFERROR(__xludf.DUMMYFUNCTION("IMPORTRANGE(""https://docs.google.com/spreadsheets/d/1DP4qPAi-kFl5WNfDx48jC0sBkEBYiUD9mmjsu-SE6aQ/edit?usp=drivesdk"",""3877!Z2"")"),4.0)</f>
        <v>4</v>
      </c>
      <c r="I191" s="128">
        <f>IFERROR(__xludf.DUMMYFUNCTION("IMPORTRANGE(""https://docs.google.com/spreadsheets/d/1fLxjJj2aUARqretaKi-EiflYh-8Z8twBzy22tl-i0Dg/edit?gid=0#gid=0"",""3877!Z2"")"),0.0)</f>
        <v>0</v>
      </c>
      <c r="J191" s="128">
        <f>IFERROR(__xludf.DUMMYFUNCTION("IMPORTRANGE(""https://docs.google.com/spreadsheets/d/1fLxjJj2aUARqretaKi-EiflYh-8Z8twBzy22tl-i0Dg/edit?usp=drivesdk"",""3877!Z2"")"),0.0)</f>
        <v>0</v>
      </c>
      <c r="K191" s="128">
        <f>IFERROR(__xludf.DUMMYFUNCTION("IMPORTRANGE(""https://docs.google.com/spreadsheets/d/1Bv-wBw4Oqdap8zRv7KGVkW3XauvLaU-_gtnmzdrt5SI/edit?usp=drivesdk"",""3877!Z2"")"),0.0)</f>
        <v>0</v>
      </c>
      <c r="L191" s="128">
        <f>IFERROR(__xludf.DUMMYFUNCTION("IMPORTRANGE(""https://docs.google.com/spreadsheets/d/1UxNeQMFFy4z9g7Y-MDrnJW1SwlaR4iRgB934VavfMuc/edit?usp=drivesdk"",""3877!Z2"")"),0.0)</f>
        <v>0</v>
      </c>
      <c r="M191" s="128">
        <f>IFERROR(__xludf.DUMMYFUNCTION("IMPORTRANGE(""https://docs.google.com/spreadsheets/d/1qWYgiCDAe3aXYeZUMGW6S-sTxbJKVv8dgq2XAtCE2bo/edit?usp=drivesdk"",""3877!Z2"")"),0.0)</f>
        <v>0</v>
      </c>
      <c r="N191" s="135"/>
      <c r="O191" s="41">
        <f t="shared" si="6"/>
        <v>100</v>
      </c>
      <c r="P191" s="44"/>
      <c r="Q191" s="104"/>
      <c r="R191" s="108"/>
      <c r="S191" s="108"/>
      <c r="T191" s="104"/>
      <c r="U191" s="47">
        <f t="shared" si="7"/>
        <v>60</v>
      </c>
      <c r="V191" s="104"/>
      <c r="W191" s="104"/>
      <c r="X191" s="136"/>
      <c r="Y191" s="138">
        <v>60.0</v>
      </c>
      <c r="Z191" s="133"/>
    </row>
    <row r="192">
      <c r="B192" s="53">
        <v>6703878.0</v>
      </c>
      <c r="C192" s="124" t="s">
        <v>419</v>
      </c>
      <c r="D192" s="43" t="s">
        <v>29</v>
      </c>
      <c r="E192" s="134" t="s">
        <v>420</v>
      </c>
      <c r="F192" s="33">
        <f>IFERROR(__xludf.DUMMYFUNCTION("IMPORTRANGE(""https://docs.google.com/spreadsheets/d/1mkXiGqjbNtqvOEWZzNFByz5W39tvmCidNg1Wc2fuxd8/edit?usp=drivesdk"",""3878!Z2"")"),0.0)</f>
        <v>0</v>
      </c>
      <c r="G192" s="127">
        <f>IFERROR(__xludf.DUMMYFUNCTION("IMPORTRANGE(""https://docs.google.com/spreadsheets/d/13et8RWBJNlvkYNcpjdmRkc7-wKp2x494wJXKZaKyaWE/edit?usp=drivesdk"",""3878!Z2"")"),69.0)</f>
        <v>69</v>
      </c>
      <c r="H192" s="157">
        <f>IFERROR(__xludf.DUMMYFUNCTION("IMPORTRANGE(""https://docs.google.com/spreadsheets/d/1DP4qPAi-kFl5WNfDx48jC0sBkEBYiUD9mmjsu-SE6aQ/edit?usp=drivesdk"",""3878!Z2"")"),26.0)</f>
        <v>26</v>
      </c>
      <c r="I192" s="128">
        <f>IFERROR(__xludf.DUMMYFUNCTION("IMPORTRANGE(""https://docs.google.com/spreadsheets/d/1fLxjJj2aUARqretaKi-EiflYh-8Z8twBzy22tl-i0Dg/edit?gid=0#gid=0"",""3878!Z2"")"),0.0)</f>
        <v>0</v>
      </c>
      <c r="J192" s="128">
        <f>IFERROR(__xludf.DUMMYFUNCTION("IMPORTRANGE(""https://docs.google.com/spreadsheets/d/1fLxjJj2aUARqretaKi-EiflYh-8Z8twBzy22tl-i0Dg/edit?usp=drivesdk"",""3878!Z2"")"),0.0)</f>
        <v>0</v>
      </c>
      <c r="K192" s="128">
        <f>IFERROR(__xludf.DUMMYFUNCTION("IMPORTRANGE(""https://docs.google.com/spreadsheets/d/1Bv-wBw4Oqdap8zRv7KGVkW3XauvLaU-_gtnmzdrt5SI/edit?usp=drivesdk"",""3878!Z2"")"),0.0)</f>
        <v>0</v>
      </c>
      <c r="L192" s="128">
        <f>IFERROR(__xludf.DUMMYFUNCTION("IMPORTRANGE(""https://docs.google.com/spreadsheets/d/1UxNeQMFFy4z9g7Y-MDrnJW1SwlaR4iRgB934VavfMuc/edit?usp=drivesdk"",""3878!Z2"")"),0.0)</f>
        <v>0</v>
      </c>
      <c r="M192" s="128">
        <f>IFERROR(__xludf.DUMMYFUNCTION("IMPORTRANGE(""https://docs.google.com/spreadsheets/d/1qWYgiCDAe3aXYeZUMGW6S-sTxbJKVv8dgq2XAtCE2bo/edit?usp=drivesdk"",""3878!Z2"")"),0.0)</f>
        <v>0</v>
      </c>
      <c r="N192" s="135"/>
      <c r="O192" s="41">
        <f t="shared" si="6"/>
        <v>95</v>
      </c>
      <c r="P192" s="44"/>
      <c r="Q192" s="104"/>
      <c r="R192" s="108"/>
      <c r="S192" s="108"/>
      <c r="T192" s="104"/>
      <c r="U192" s="47">
        <f t="shared" si="7"/>
        <v>90</v>
      </c>
      <c r="V192" s="104"/>
      <c r="W192" s="104"/>
      <c r="X192" s="136"/>
      <c r="Y192" s="138">
        <v>90.0</v>
      </c>
      <c r="Z192" s="133"/>
    </row>
    <row r="193">
      <c r="B193" s="53">
        <v>6703879.0</v>
      </c>
      <c r="C193" s="124" t="s">
        <v>421</v>
      </c>
      <c r="D193" s="43" t="s">
        <v>29</v>
      </c>
      <c r="E193" s="134" t="s">
        <v>422</v>
      </c>
      <c r="F193" s="33">
        <f>IFERROR(__xludf.DUMMYFUNCTION("IMPORTRANGE(""https://docs.google.com/spreadsheets/d/1mkXiGqjbNtqvOEWZzNFByz5W39tvmCidNg1Wc2fuxd8/edit?usp=drivesdk"",""3879!Z2"")"),8.0)</f>
        <v>8</v>
      </c>
      <c r="G193" s="127">
        <f>IFERROR(__xludf.DUMMYFUNCTION("IMPORTRANGE(""https://docs.google.com/spreadsheets/d/13et8RWBJNlvkYNcpjdmRkc7-wKp2x494wJXKZaKyaWE/edit?usp=drivesdk"",""3879!Z2"")"),40.0)</f>
        <v>40</v>
      </c>
      <c r="H193" s="157">
        <f>IFERROR(__xludf.DUMMYFUNCTION("IMPORTRANGE(""https://docs.google.com/spreadsheets/d/1DP4qPAi-kFl5WNfDx48jC0sBkEBYiUD9mmjsu-SE6aQ/edit?usp=drivesdk"",""3879!Z2"")"),30.0)</f>
        <v>30</v>
      </c>
      <c r="I193" s="128">
        <f>IFERROR(__xludf.DUMMYFUNCTION("IMPORTRANGE(""https://docs.google.com/spreadsheets/d/1fLxjJj2aUARqretaKi-EiflYh-8Z8twBzy22tl-i0Dg/edit?gid=0#gid=0"",""3879!Z2"")"),0.0)</f>
        <v>0</v>
      </c>
      <c r="J193" s="128">
        <f>IFERROR(__xludf.DUMMYFUNCTION("IMPORTRANGE(""https://docs.google.com/spreadsheets/d/1fLxjJj2aUARqretaKi-EiflYh-8Z8twBzy22tl-i0Dg/edit?usp=drivesdk"",""3879!Z2"")"),0.0)</f>
        <v>0</v>
      </c>
      <c r="K193" s="128">
        <f>IFERROR(__xludf.DUMMYFUNCTION("IMPORTRANGE(""https://docs.google.com/spreadsheets/d/1Bv-wBw4Oqdap8zRv7KGVkW3XauvLaU-_gtnmzdrt5SI/edit?usp=drivesdk"",""3879!Z2"")"),0.0)</f>
        <v>0</v>
      </c>
      <c r="L193" s="128">
        <f>IFERROR(__xludf.DUMMYFUNCTION("IMPORTRANGE(""https://docs.google.com/spreadsheets/d/1UxNeQMFFy4z9g7Y-MDrnJW1SwlaR4iRgB934VavfMuc/edit?usp=drivesdk"",""3879!Z2"")"),0.0)</f>
        <v>0</v>
      </c>
      <c r="M193" s="128">
        <f>IFERROR(__xludf.DUMMYFUNCTION("IMPORTRANGE(""https://docs.google.com/spreadsheets/d/1qWYgiCDAe3aXYeZUMGW6S-sTxbJKVv8dgq2XAtCE2bo/edit?usp=drivesdk"",""3879!Z2"")"),0.0)</f>
        <v>0</v>
      </c>
      <c r="N193" s="135"/>
      <c r="O193" s="41">
        <f t="shared" si="6"/>
        <v>78</v>
      </c>
      <c r="P193" s="44"/>
      <c r="Q193" s="104"/>
      <c r="R193" s="108"/>
      <c r="S193" s="108"/>
      <c r="T193" s="104"/>
      <c r="U193" s="47">
        <f t="shared" si="7"/>
        <v>79</v>
      </c>
      <c r="V193" s="104"/>
      <c r="W193" s="104"/>
      <c r="X193" s="136"/>
      <c r="Y193" s="138">
        <v>79.0</v>
      </c>
      <c r="Z193" s="133"/>
    </row>
    <row r="194">
      <c r="B194" s="53">
        <v>6703880.0</v>
      </c>
      <c r="C194" s="124" t="s">
        <v>423</v>
      </c>
      <c r="D194" s="43" t="s">
        <v>29</v>
      </c>
      <c r="E194" s="134" t="s">
        <v>424</v>
      </c>
      <c r="F194" s="33">
        <f>IFERROR(__xludf.DUMMYFUNCTION("IMPORTRANGE(""https://docs.google.com/spreadsheets/d/1mkXiGqjbNtqvOEWZzNFByz5W39tvmCidNg1Wc2fuxd8/edit?usp=drivesdk"",""3880!Z2"")"),8.0)</f>
        <v>8</v>
      </c>
      <c r="G194" s="127">
        <f>IFERROR(__xludf.DUMMYFUNCTION("IMPORTRANGE(""https://docs.google.com/spreadsheets/d/13et8RWBJNlvkYNcpjdmRkc7-wKp2x494wJXKZaKyaWE/edit?usp=drivesdk"",""3880!Z2"")"),32.0)</f>
        <v>32</v>
      </c>
      <c r="H194" s="157">
        <f>IFERROR(__xludf.DUMMYFUNCTION("IMPORTRANGE(""https://docs.google.com/spreadsheets/d/1DP4qPAi-kFl5WNfDx48jC0sBkEBYiUD9mmjsu-SE6aQ/edit?usp=drivesdk"",""3880!Z2"")"),22.0)</f>
        <v>22</v>
      </c>
      <c r="I194" s="128">
        <f>IFERROR(__xludf.DUMMYFUNCTION("IMPORTRANGE(""https://docs.google.com/spreadsheets/d/1fLxjJj2aUARqretaKi-EiflYh-8Z8twBzy22tl-i0Dg/edit?gid=0#gid=0"",""3880!Z2"")"),0.0)</f>
        <v>0</v>
      </c>
      <c r="J194" s="128">
        <f>IFERROR(__xludf.DUMMYFUNCTION("IMPORTRANGE(""https://docs.google.com/spreadsheets/d/1fLxjJj2aUARqretaKi-EiflYh-8Z8twBzy22tl-i0Dg/edit?usp=drivesdk"",""3880!Z2"")"),0.0)</f>
        <v>0</v>
      </c>
      <c r="K194" s="128">
        <f>IFERROR(__xludf.DUMMYFUNCTION("IMPORTRANGE(""https://docs.google.com/spreadsheets/d/1Bv-wBw4Oqdap8zRv7KGVkW3XauvLaU-_gtnmzdrt5SI/edit?usp=drivesdk"",""3880!Z2"")"),0.0)</f>
        <v>0</v>
      </c>
      <c r="L194" s="128">
        <f>IFERROR(__xludf.DUMMYFUNCTION("IMPORTRANGE(""https://docs.google.com/spreadsheets/d/1UxNeQMFFy4z9g7Y-MDrnJW1SwlaR4iRgB934VavfMuc/edit?usp=drivesdk"",""3880!Z2"")"),0.0)</f>
        <v>0</v>
      </c>
      <c r="M194" s="128">
        <f>IFERROR(__xludf.DUMMYFUNCTION("IMPORTRANGE(""https://docs.google.com/spreadsheets/d/1qWYgiCDAe3aXYeZUMGW6S-sTxbJKVv8dgq2XAtCE2bo/edit?usp=drivesdk"",""3880!Z2"")"),0.0)</f>
        <v>0</v>
      </c>
      <c r="N194" s="135"/>
      <c r="O194" s="41">
        <f t="shared" si="6"/>
        <v>62</v>
      </c>
      <c r="P194" s="44"/>
      <c r="Q194" s="104"/>
      <c r="R194" s="108"/>
      <c r="S194" s="108"/>
      <c r="T194" s="104"/>
      <c r="U194" s="47">
        <f t="shared" si="7"/>
        <v>76</v>
      </c>
      <c r="V194" s="104"/>
      <c r="W194" s="104"/>
      <c r="X194" s="136"/>
      <c r="Y194" s="138">
        <v>76.0</v>
      </c>
      <c r="Z194" s="133"/>
    </row>
    <row r="195">
      <c r="B195" s="113">
        <v>6703881.0</v>
      </c>
      <c r="C195" s="163" t="s">
        <v>425</v>
      </c>
      <c r="D195" s="79" t="s">
        <v>29</v>
      </c>
      <c r="E195" s="164" t="s">
        <v>426</v>
      </c>
      <c r="F195" s="116">
        <f>IFERROR(__xludf.DUMMYFUNCTION("IMPORTRANGE(""https://docs.google.com/spreadsheets/d/1mkXiGqjbNtqvOEWZzNFByz5W39tvmCidNg1Wc2fuxd8/edit?usp=drivesdk"",""3881!Z2"")"),8.0)</f>
        <v>8</v>
      </c>
      <c r="G195" s="165">
        <f>IFERROR(__xludf.DUMMYFUNCTION("IMPORTRANGE(""https://docs.google.com/spreadsheets/d/13et8RWBJNlvkYNcpjdmRkc7-wKp2x494wJXKZaKyaWE/edit?usp=drivesdk"",""3881!Z2"")"),40.0)</f>
        <v>40</v>
      </c>
      <c r="H195" s="165">
        <f>IFERROR(__xludf.DUMMYFUNCTION("IMPORTRANGE(""https://docs.google.com/spreadsheets/d/1DP4qPAi-kFl5WNfDx48jC0sBkEBYiUD9mmjsu-SE6aQ/edit?usp=drivesdk"",""3881!Z2"")"),41.0)</f>
        <v>41</v>
      </c>
      <c r="I195" s="165">
        <f>IFERROR(__xludf.DUMMYFUNCTION("IMPORTRANGE(""https://docs.google.com/spreadsheets/d/1fLxjJj2aUARqretaKi-EiflYh-8Z8twBzy22tl-i0Dg/edit?gid=0#gid=0"",""3881!Z2"")"),0.0)</f>
        <v>0</v>
      </c>
      <c r="J195" s="165">
        <f>IFERROR(__xludf.DUMMYFUNCTION("IMPORTRANGE(""https://docs.google.com/spreadsheets/d/1fLxjJj2aUARqretaKi-EiflYh-8Z8twBzy22tl-i0Dg/edit?usp=drivesdk"",""3881!Z2"")"),0.0)</f>
        <v>0</v>
      </c>
      <c r="K195" s="165">
        <f>IFERROR(__xludf.DUMMYFUNCTION("IMPORTRANGE(""https://docs.google.com/spreadsheets/d/1Bv-wBw4Oqdap8zRv7KGVkW3XauvLaU-_gtnmzdrt5SI/edit?usp=drivesdk"",""3881!Z2"")"),1.0)</f>
        <v>1</v>
      </c>
      <c r="L195" s="165">
        <f>IFERROR(__xludf.DUMMYFUNCTION("IMPORTRANGE(""https://docs.google.com/spreadsheets/d/1UxNeQMFFy4z9g7Y-MDrnJW1SwlaR4iRgB934VavfMuc/edit?usp=drivesdk"",""3881!Z2"")"),1.0)</f>
        <v>1</v>
      </c>
      <c r="M195" s="165">
        <f>IFERROR(__xludf.DUMMYFUNCTION("IMPORTRANGE(""https://docs.google.com/spreadsheets/d/1qWYgiCDAe3aXYeZUMGW6S-sTxbJKVv8dgq2XAtCE2bo/edit?usp=drivesdk"",""3881!Z2"")"),0.0)</f>
        <v>0</v>
      </c>
      <c r="N195" s="165"/>
      <c r="O195" s="77">
        <f t="shared" si="6"/>
        <v>91</v>
      </c>
      <c r="P195" s="118"/>
      <c r="Q195" s="119"/>
      <c r="R195" s="120"/>
      <c r="S195" s="120"/>
      <c r="T195" s="119"/>
      <c r="U195" s="85">
        <f t="shared" si="7"/>
        <v>0</v>
      </c>
      <c r="V195" s="119"/>
      <c r="W195" s="119"/>
      <c r="X195" s="166"/>
      <c r="Y195" s="167"/>
      <c r="Z195" s="133"/>
    </row>
    <row r="196">
      <c r="A196" s="168" t="s">
        <v>427</v>
      </c>
      <c r="B196" s="90">
        <v>6803882.0</v>
      </c>
      <c r="C196" s="124" t="s">
        <v>428</v>
      </c>
      <c r="D196" s="169" t="s">
        <v>29</v>
      </c>
      <c r="E196" s="170" t="s">
        <v>429</v>
      </c>
      <c r="F196" s="33">
        <f>IFERROR(__xludf.DUMMYFUNCTION("IMPORTRANGE(""https://docs.google.com/spreadsheets/d/14F0mnOF0WZE--9ZM8IXGlHfTDE7lUvjRM8DMPE4taLg/edit?gid=0#gid=0"",""3882!Z2"")"),16.0)</f>
        <v>16</v>
      </c>
      <c r="G196" s="171">
        <f>IFERROR(__xludf.DUMMYFUNCTION("IMPORTRANGE(""https://docs.google.com/spreadsheets/d/1eurEunDb-ysb1pCzsgqDKgU1J0MkfrtwxNJwjUHJpLs/edit?gid=0#gid=0"",""3882!Z2"")"),13.0)</f>
        <v>13</v>
      </c>
      <c r="H196" s="171">
        <f>IFERROR(__xludf.DUMMYFUNCTION("IMPORTRANGE(""https://docs.google.com/spreadsheets/d/1EyFqCuGrfVTzjObzA4vrOWW51hVKTv4iVSlj-F2BIfc/edit?gid=0#gid=0"",""3882!Z2"")"),20.0)</f>
        <v>20</v>
      </c>
      <c r="I196" s="171">
        <f>IFERROR(__xludf.DUMMYFUNCTION("IMPORTRANGE(""https://docs.google.com/spreadsheets/d/1tiL0lGJs8l1FznIlE4Ca1ARpslvtK6kGgBYfzeZoNNw/edit?gid=0#gid=0"",""3882!Z2"")"),0.0)</f>
        <v>0</v>
      </c>
      <c r="J196" s="171">
        <f>IFERROR(__xludf.DUMMYFUNCTION("IMPORTRANGE(""https://docs.google.com/spreadsheets/d/1LLtayRj359azArOKYATkFa1u0XDMGp1Jn4WCUlleQj0/edit?gid=0#gid=0"",""3882!Z2"")"),0.0)</f>
        <v>0</v>
      </c>
      <c r="K196" s="172">
        <f>IFERROR(__xludf.DUMMYFUNCTION("IMPORTRANGE(""https://docs.google.com/spreadsheets/d/1zNDSwhgqj8l6v-2sNXfA_Ku8lX_jir7p8Wt-H2-qw80/edit?gid=0#gid=0"",""3882!Z2"")"),4.0)</f>
        <v>4</v>
      </c>
      <c r="L196" s="172">
        <f>IFERROR(__xludf.DUMMYFUNCTION("IMPORTRANGE(""https://docs.google.com/spreadsheets/d/1mIt5QobWVrxUcfcSVFOfokW2W_VnZZbOpF8I70OE6L8/edit?gid=0#gid=0"",""3882!Z2"")"),0.0)</f>
        <v>0</v>
      </c>
      <c r="M196" s="172">
        <f>IFERROR(__xludf.DUMMYFUNCTION("IMPORTRANGE(""https://docs.google.com/spreadsheets/d/1KuJipsGd1IaAyLNhqUabCsnnVzL27mc7bG4cDVfQr38/edit?gid=0#gid=0"",""3882!Z2"")"),0.0)</f>
        <v>0</v>
      </c>
      <c r="N196" s="173"/>
      <c r="O196" s="174">
        <f t="shared" si="6"/>
        <v>53</v>
      </c>
      <c r="P196" s="175"/>
      <c r="Q196" s="175"/>
      <c r="R196" s="173"/>
      <c r="S196" s="175"/>
      <c r="T196" s="175"/>
      <c r="U196" s="47">
        <f t="shared" si="7"/>
        <v>0</v>
      </c>
      <c r="V196" s="175"/>
      <c r="W196" s="175"/>
      <c r="X196" s="175"/>
      <c r="Y196" s="175"/>
      <c r="Z196" s="133"/>
    </row>
    <row r="197">
      <c r="B197" s="53">
        <v>6803883.0</v>
      </c>
      <c r="C197" s="124" t="s">
        <v>430</v>
      </c>
      <c r="D197" s="176" t="s">
        <v>29</v>
      </c>
      <c r="E197" s="177" t="s">
        <v>431</v>
      </c>
      <c r="F197" s="178">
        <f>IFERROR(__xludf.DUMMYFUNCTION("IMPORTRANGE(""https://docs.google.com/spreadsheets/d/14F0mnOF0WZE--9ZM8IXGlHfTDE7lUvjRM8DMPE4taLg/edit?gid=0#gid=0"",""3883!Z2"")"),0.0)</f>
        <v>0</v>
      </c>
      <c r="G197" s="171">
        <f>IFERROR(__xludf.DUMMYFUNCTION("IMPORTRANGE(""https://docs.google.com/spreadsheets/d/1eurEunDb-ysb1pCzsgqDKgU1J0MkfrtwxNJwjUHJpLs/edit?gid=0#gid=0"",""3883!Z2"")"),16.0)</f>
        <v>16</v>
      </c>
      <c r="H197" s="171">
        <f>IFERROR(__xludf.DUMMYFUNCTION("IMPORTRANGE(""https://docs.google.com/spreadsheets/d/1EyFqCuGrfVTzjObzA4vrOWW51hVKTv4iVSlj-F2BIfc/edit?gid=0#gid=0"",""3883!Z2"")"),14.0)</f>
        <v>14</v>
      </c>
      <c r="I197" s="171">
        <f>IFERROR(__xludf.DUMMYFUNCTION("IMPORTRANGE(""https://docs.google.com/spreadsheets/d/1tiL0lGJs8l1FznIlE4Ca1ARpslvtK6kGgBYfzeZoNNw/edit?gid=0#gid=0"",""3883!Z2"")"),0.0)</f>
        <v>0</v>
      </c>
      <c r="J197" s="179">
        <f>IFERROR(__xludf.DUMMYFUNCTION("IMPORTRANGE(""https://docs.google.com/spreadsheets/d/1LLtayRj359azArOKYATkFa1u0XDMGp1Jn4WCUlleQj0/edit?gid=0#gid=0"",""3883!Z2"")"),8.0)</f>
        <v>8</v>
      </c>
      <c r="K197" s="135">
        <f>IFERROR(__xludf.DUMMYFUNCTION("IMPORTRANGE(""https://docs.google.com/spreadsheets/d/1zNDSwhgqj8l6v-2sNXfA_Ku8lX_jir7p8Wt-H2-qw80/edit?gid=0#gid=0"",""3883!Z2"")"),12.0)</f>
        <v>12</v>
      </c>
      <c r="L197" s="135">
        <f>IFERROR(__xludf.DUMMYFUNCTION("IMPORTRANGE(""https://docs.google.com/spreadsheets/d/1mIt5QobWVrxUcfcSVFOfokW2W_VnZZbOpF8I70OE6L8/edit?gid=0#gid=0"",""3883!Z2"")"),10.0)</f>
        <v>10</v>
      </c>
      <c r="M197" s="135">
        <f>IFERROR(__xludf.DUMMYFUNCTION("IMPORTRANGE(""https://docs.google.com/spreadsheets/d/1KuJipsGd1IaAyLNhqUabCsnnVzL27mc7bG4cDVfQr38/edit?gid=0#gid=0"",""3883!Z2"")"),1.0)</f>
        <v>1</v>
      </c>
      <c r="N197" s="180"/>
      <c r="O197" s="181">
        <f t="shared" si="6"/>
        <v>61</v>
      </c>
      <c r="P197" s="182"/>
      <c r="Q197" s="182"/>
      <c r="R197" s="183"/>
      <c r="S197" s="182"/>
      <c r="T197" s="182"/>
      <c r="U197" s="47">
        <f t="shared" si="7"/>
        <v>0</v>
      </c>
      <c r="V197" s="182"/>
      <c r="W197" s="182"/>
      <c r="X197" s="182"/>
      <c r="Y197" s="182"/>
      <c r="Z197" s="133"/>
    </row>
    <row r="198">
      <c r="B198" s="53">
        <v>6803884.0</v>
      </c>
      <c r="C198" s="124" t="s">
        <v>432</v>
      </c>
      <c r="D198" s="176" t="s">
        <v>29</v>
      </c>
      <c r="E198" s="177" t="s">
        <v>433</v>
      </c>
      <c r="F198" s="178">
        <f>IFERROR(__xludf.DUMMYFUNCTION("IMPORTRANGE(""https://docs.google.com/spreadsheets/d/14F0mnOF0WZE--9ZM8IXGlHfTDE7lUvjRM8DMPE4taLg/edit?gid=0#gid=0"",""3884!Z2"")"),0.0)</f>
        <v>0</v>
      </c>
      <c r="G198" s="171">
        <f>IFERROR(__xludf.DUMMYFUNCTION("IMPORTRANGE(""https://docs.google.com/spreadsheets/d/1eurEunDb-ysb1pCzsgqDKgU1J0MkfrtwxNJwjUHJpLs/edit?gid=0#gid=0"",""3884!Z2"")"),8.0)</f>
        <v>8</v>
      </c>
      <c r="H198" s="171">
        <f>IFERROR(__xludf.DUMMYFUNCTION("IMPORTRANGE(""https://docs.google.com/spreadsheets/d/1EyFqCuGrfVTzjObzA4vrOWW51hVKTv4iVSlj-F2BIfc/edit?gid=0#gid=0"",""3884!Z2"")"),2.0)</f>
        <v>2</v>
      </c>
      <c r="I198" s="171">
        <f>IFERROR(__xludf.DUMMYFUNCTION("IMPORTRANGE(""https://docs.google.com/spreadsheets/d/1tiL0lGJs8l1FznIlE4Ca1ARpslvtK6kGgBYfzeZoNNw/edit?gid=0#gid=0"",""3884!Z2"")"),0.0)</f>
        <v>0</v>
      </c>
      <c r="J198" s="179">
        <f>IFERROR(__xludf.DUMMYFUNCTION("IMPORTRANGE(""https://docs.google.com/spreadsheets/d/1LLtayRj359azArOKYATkFa1u0XDMGp1Jn4WCUlleQj0/edit?gid=0#gid=0"",""3884!Z2"")"),8.0)</f>
        <v>8</v>
      </c>
      <c r="K198" s="135">
        <f>IFERROR(__xludf.DUMMYFUNCTION("IMPORTRANGE(""https://docs.google.com/spreadsheets/d/1zNDSwhgqj8l6v-2sNXfA_Ku8lX_jir7p8Wt-H2-qw80/edit?gid=0#gid=0"",""3884!Z2"")"),16.0)</f>
        <v>16</v>
      </c>
      <c r="L198" s="135">
        <f>IFERROR(__xludf.DUMMYFUNCTION("IMPORTRANGE(""https://docs.google.com/spreadsheets/d/1mIt5QobWVrxUcfcSVFOfokW2W_VnZZbOpF8I70OE6L8/edit?gid=0#gid=0"",""3884!Z2"")"),15.0)</f>
        <v>15</v>
      </c>
      <c r="M198" s="135">
        <f>IFERROR(__xludf.DUMMYFUNCTION("IMPORTRANGE(""https://docs.google.com/spreadsheets/d/1KuJipsGd1IaAyLNhqUabCsnnVzL27mc7bG4cDVfQr38/edit?gid=0#gid=0"",""3884!Z2"")"),1.0)</f>
        <v>1</v>
      </c>
      <c r="N198" s="183"/>
      <c r="O198" s="181">
        <f t="shared" si="6"/>
        <v>50</v>
      </c>
      <c r="P198" s="182"/>
      <c r="Q198" s="182"/>
      <c r="R198" s="183"/>
      <c r="S198" s="182"/>
      <c r="T198" s="182"/>
      <c r="U198" s="47">
        <f t="shared" si="7"/>
        <v>0</v>
      </c>
      <c r="V198" s="182"/>
      <c r="W198" s="182"/>
      <c r="X198" s="182"/>
      <c r="Y198" s="182"/>
      <c r="Z198" s="133"/>
    </row>
    <row r="199">
      <c r="B199" s="53">
        <v>6803885.0</v>
      </c>
      <c r="C199" s="124" t="s">
        <v>434</v>
      </c>
      <c r="D199" s="176" t="s">
        <v>29</v>
      </c>
      <c r="E199" s="177" t="s">
        <v>435</v>
      </c>
      <c r="F199" s="178">
        <f>IFERROR(__xludf.DUMMYFUNCTION("IMPORTRANGE(""https://docs.google.com/spreadsheets/d/14F0mnOF0WZE--9ZM8IXGlHfTDE7lUvjRM8DMPE4taLg/edit?gid=0#gid=0"",""3885!Z2"")"),16.0)</f>
        <v>16</v>
      </c>
      <c r="G199" s="171">
        <f>IFERROR(__xludf.DUMMYFUNCTION("IMPORTRANGE(""https://docs.google.com/spreadsheets/d/1eurEunDb-ysb1pCzsgqDKgU1J0MkfrtwxNJwjUHJpLs/edit?gid=0#gid=0"",""3885!Z2"")"),13.0)</f>
        <v>13</v>
      </c>
      <c r="H199" s="171">
        <f>IFERROR(__xludf.DUMMYFUNCTION("IMPORTRANGE(""https://docs.google.com/spreadsheets/d/1EyFqCuGrfVTzjObzA4vrOWW51hVKTv4iVSlj-F2BIfc/edit?gid=0#gid=0"",""3885!Z2"")"),29.0)</f>
        <v>29</v>
      </c>
      <c r="I199" s="171">
        <f>IFERROR(__xludf.DUMMYFUNCTION("IMPORTRANGE(""https://docs.google.com/spreadsheets/d/1tiL0lGJs8l1FznIlE4Ca1ARpslvtK6kGgBYfzeZoNNw/edit?gid=0#gid=0"",""3885!Z2"")"),0.0)</f>
        <v>0</v>
      </c>
      <c r="J199" s="171">
        <f>IFERROR(__xludf.DUMMYFUNCTION("IMPORTRANGE(""https://docs.google.com/spreadsheets/d/1LLtayRj359azArOKYATkFa1u0XDMGp1Jn4WCUlleQj0/edit?gid=0#gid=0"",""3885!Z2"")"),0.0)</f>
        <v>0</v>
      </c>
      <c r="K199" s="135">
        <f>IFERROR(__xludf.DUMMYFUNCTION("IMPORTRANGE(""https://docs.google.com/spreadsheets/d/1zNDSwhgqj8l6v-2sNXfA_Ku8lX_jir7p8Wt-H2-qw80/edit?gid=0#gid=0"",""3885!Z2"")"),6.0)</f>
        <v>6</v>
      </c>
      <c r="L199" s="135">
        <f>IFERROR(__xludf.DUMMYFUNCTION("IMPORTRANGE(""https://docs.google.com/spreadsheets/d/1mIt5QobWVrxUcfcSVFOfokW2W_VnZZbOpF8I70OE6L8/edit?gid=0#gid=0"",""3885!Z2"")"),6.0)</f>
        <v>6</v>
      </c>
      <c r="M199" s="135">
        <f>IFERROR(__xludf.DUMMYFUNCTION("IMPORTRANGE(""https://docs.google.com/spreadsheets/d/1KuJipsGd1IaAyLNhqUabCsnnVzL27mc7bG4cDVfQr38/edit?gid=0#gid=0"",""3885!Z2"")"),0.0)</f>
        <v>0</v>
      </c>
      <c r="N199" s="183"/>
      <c r="O199" s="181">
        <f t="shared" si="6"/>
        <v>70</v>
      </c>
      <c r="P199" s="182"/>
      <c r="Q199" s="182"/>
      <c r="R199" s="183"/>
      <c r="S199" s="182"/>
      <c r="T199" s="182"/>
      <c r="U199" s="47">
        <f t="shared" si="7"/>
        <v>0</v>
      </c>
      <c r="V199" s="182"/>
      <c r="W199" s="182"/>
      <c r="X199" s="182"/>
      <c r="Y199" s="182"/>
      <c r="Z199" s="133"/>
    </row>
    <row r="200">
      <c r="B200" s="53">
        <v>6803886.0</v>
      </c>
      <c r="C200" s="124" t="s">
        <v>436</v>
      </c>
      <c r="D200" s="176" t="s">
        <v>29</v>
      </c>
      <c r="E200" s="177" t="s">
        <v>437</v>
      </c>
      <c r="F200" s="178">
        <f>IFERROR(__xludf.DUMMYFUNCTION("IMPORTRANGE(""https://docs.google.com/spreadsheets/d/14F0mnOF0WZE--9ZM8IXGlHfTDE7lUvjRM8DMPE4taLg/edit?gid=0#gid=0"",""3886!Z2"")"),16.0)</f>
        <v>16</v>
      </c>
      <c r="G200" s="171">
        <f>IFERROR(__xludf.DUMMYFUNCTION("IMPORTRANGE(""https://docs.google.com/spreadsheets/d/1eurEunDb-ysb1pCzsgqDKgU1J0MkfrtwxNJwjUHJpLs/edit?gid=0#gid=0"",""3886!Z2"")"),11.0)</f>
        <v>11</v>
      </c>
      <c r="H200" s="171">
        <f>IFERROR(__xludf.DUMMYFUNCTION("IMPORTRANGE(""https://docs.google.com/spreadsheets/d/1EyFqCuGrfVTzjObzA4vrOWW51hVKTv4iVSlj-F2BIfc/edit?gid=0#gid=0"",""3886!Z2"")"),18.0)</f>
        <v>18</v>
      </c>
      <c r="I200" s="171">
        <f>IFERROR(__xludf.DUMMYFUNCTION("IMPORTRANGE(""https://docs.google.com/spreadsheets/d/1tiL0lGJs8l1FznIlE4Ca1ARpslvtK6kGgBYfzeZoNNw/edit?gid=0#gid=0"",""3886!Z2"")"),0.0)</f>
        <v>0</v>
      </c>
      <c r="J200" s="171">
        <f>IFERROR(__xludf.DUMMYFUNCTION("IMPORTRANGE(""https://docs.google.com/spreadsheets/d/1LLtayRj359azArOKYATkFa1u0XDMGp1Jn4WCUlleQj0/edit?gid=0#gid=0"",""3886!Z2"")"),0.0)</f>
        <v>0</v>
      </c>
      <c r="K200" s="135">
        <f>IFERROR(__xludf.DUMMYFUNCTION("IMPORTRANGE(""https://docs.google.com/spreadsheets/d/1zNDSwhgqj8l6v-2sNXfA_Ku8lX_jir7p8Wt-H2-qw80/edit?gid=0#gid=0"",""3886!Z2"")"),0.0)</f>
        <v>0</v>
      </c>
      <c r="L200" s="135">
        <f>IFERROR(__xludf.DUMMYFUNCTION("IMPORTRANGE(""https://docs.google.com/spreadsheets/d/1mIt5QobWVrxUcfcSVFOfokW2W_VnZZbOpF8I70OE6L8/edit?gid=0#gid=0"",""3886!Z2"")"),15.0)</f>
        <v>15</v>
      </c>
      <c r="M200" s="135">
        <f>IFERROR(__xludf.DUMMYFUNCTION("IMPORTRANGE(""https://docs.google.com/spreadsheets/d/1KuJipsGd1IaAyLNhqUabCsnnVzL27mc7bG4cDVfQr38/edit?gid=0#gid=0"",""3886!Z2"")"),0.0)</f>
        <v>0</v>
      </c>
      <c r="N200" s="183"/>
      <c r="O200" s="181">
        <f t="shared" si="6"/>
        <v>60</v>
      </c>
      <c r="P200" s="182"/>
      <c r="Q200" s="182"/>
      <c r="R200" s="183"/>
      <c r="S200" s="182"/>
      <c r="T200" s="182"/>
      <c r="U200" s="47">
        <f t="shared" si="7"/>
        <v>0</v>
      </c>
      <c r="V200" s="182"/>
      <c r="W200" s="182"/>
      <c r="X200" s="182"/>
      <c r="Y200" s="182"/>
      <c r="Z200" s="133"/>
    </row>
    <row r="201">
      <c r="B201" s="53">
        <v>6803887.0</v>
      </c>
      <c r="C201" s="124" t="s">
        <v>438</v>
      </c>
      <c r="D201" s="176" t="s">
        <v>29</v>
      </c>
      <c r="E201" s="177" t="s">
        <v>439</v>
      </c>
      <c r="F201" s="178">
        <f>IFERROR(__xludf.DUMMYFUNCTION("IMPORTRANGE(""https://docs.google.com/spreadsheets/d/14F0mnOF0WZE--9ZM8IXGlHfTDE7lUvjRM8DMPE4taLg/edit?gid=0#gid=0"",""3887!Z2"")"),8.0)</f>
        <v>8</v>
      </c>
      <c r="G201" s="171">
        <f>IFERROR(__xludf.DUMMYFUNCTION("IMPORTRANGE(""https://docs.google.com/spreadsheets/d/1eurEunDb-ysb1pCzsgqDKgU1J0MkfrtwxNJwjUHJpLs/edit?gid=0#gid=0"",""3887!Z2"")"),48.0)</f>
        <v>48</v>
      </c>
      <c r="H201" s="171">
        <f>IFERROR(__xludf.DUMMYFUNCTION("IMPORTRANGE(""https://docs.google.com/spreadsheets/d/1EyFqCuGrfVTzjObzA4vrOWW51hVKTv4iVSlj-F2BIfc/edit?gid=0#gid=0"",""3887!Z2"")"),22.0)</f>
        <v>22</v>
      </c>
      <c r="I201" s="171">
        <f>IFERROR(__xludf.DUMMYFUNCTION("IMPORTRANGE(""https://docs.google.com/spreadsheets/d/1tiL0lGJs8l1FznIlE4Ca1ARpslvtK6kGgBYfzeZoNNw/edit?gid=0#gid=0"",""3887!Z2"")"),0.0)</f>
        <v>0</v>
      </c>
      <c r="J201" s="171">
        <f>IFERROR(__xludf.DUMMYFUNCTION("IMPORTRANGE(""https://docs.google.com/spreadsheets/d/1LLtayRj359azArOKYATkFa1u0XDMGp1Jn4WCUlleQj0/edit?gid=0#gid=0"",""3887!Z2"")"),0.0)</f>
        <v>0</v>
      </c>
      <c r="K201" s="135">
        <f>IFERROR(__xludf.DUMMYFUNCTION("IMPORTRANGE(""https://docs.google.com/spreadsheets/d/1zNDSwhgqj8l6v-2sNXfA_Ku8lX_jir7p8Wt-H2-qw80/edit?gid=0#gid=0"",""3887!Z2"")"),0.0)</f>
        <v>0</v>
      </c>
      <c r="L201" s="135">
        <f>IFERROR(__xludf.DUMMYFUNCTION("IMPORTRANGE(""https://docs.google.com/spreadsheets/d/1mIt5QobWVrxUcfcSVFOfokW2W_VnZZbOpF8I70OE6L8/edit?gid=0#gid=0"",""3887!Z2"")"),0.0)</f>
        <v>0</v>
      </c>
      <c r="M201" s="135">
        <f>IFERROR(__xludf.DUMMYFUNCTION("IMPORTRANGE(""https://docs.google.com/spreadsheets/d/1KuJipsGd1IaAyLNhqUabCsnnVzL27mc7bG4cDVfQr38/edit?gid=0#gid=0"",""3887!Z2"")"),0.0)</f>
        <v>0</v>
      </c>
      <c r="N201" s="183"/>
      <c r="O201" s="181">
        <f t="shared" si="6"/>
        <v>78</v>
      </c>
      <c r="P201" s="182"/>
      <c r="Q201" s="182"/>
      <c r="R201" s="183"/>
      <c r="S201" s="182"/>
      <c r="T201" s="182"/>
      <c r="U201" s="47">
        <f t="shared" si="7"/>
        <v>0</v>
      </c>
      <c r="V201" s="182"/>
      <c r="W201" s="182"/>
      <c r="X201" s="182"/>
      <c r="Y201" s="182"/>
      <c r="Z201" s="133"/>
    </row>
    <row r="202">
      <c r="B202" s="53">
        <v>6803888.0</v>
      </c>
      <c r="C202" s="124" t="s">
        <v>440</v>
      </c>
      <c r="D202" s="176" t="s">
        <v>29</v>
      </c>
      <c r="E202" s="177" t="s">
        <v>441</v>
      </c>
      <c r="F202" s="178">
        <f>IFERROR(__xludf.DUMMYFUNCTION("IMPORTRANGE(""https://docs.google.com/spreadsheets/d/14F0mnOF0WZE--9ZM8IXGlHfTDE7lUvjRM8DMPE4taLg/edit?gid=0#gid=0"",""3888!Z2"")"),8.0)</f>
        <v>8</v>
      </c>
      <c r="G202" s="171">
        <f>IFERROR(__xludf.DUMMYFUNCTION("IMPORTRANGE(""https://docs.google.com/spreadsheets/d/1eurEunDb-ysb1pCzsgqDKgU1J0MkfrtwxNJwjUHJpLs/edit?gid=0#gid=0"",""3888!Z2"")"),11.0)</f>
        <v>11</v>
      </c>
      <c r="H202" s="171">
        <f>IFERROR(__xludf.DUMMYFUNCTION("IMPORTRANGE(""https://docs.google.com/spreadsheets/d/1EyFqCuGrfVTzjObzA4vrOWW51hVKTv4iVSlj-F2BIfc/edit?gid=0#gid=0"",""3888!Z2"")"),12.0)</f>
        <v>12</v>
      </c>
      <c r="I202" s="171">
        <f>IFERROR(__xludf.DUMMYFUNCTION("IMPORTRANGE(""https://docs.google.com/spreadsheets/d/1tiL0lGJs8l1FznIlE4Ca1ARpslvtK6kGgBYfzeZoNNw/edit?gid=0#gid=0"",""3888!Z2"")"),0.0)</f>
        <v>0</v>
      </c>
      <c r="J202" s="171">
        <f>IFERROR(__xludf.DUMMYFUNCTION("IMPORTRANGE(""https://docs.google.com/spreadsheets/d/1LLtayRj359azArOKYATkFa1u0XDMGp1Jn4WCUlleQj0/edit?gid=0#gid=0"",""3888!Z2"")"),0.0)</f>
        <v>0</v>
      </c>
      <c r="K202" s="135">
        <f>IFERROR(__xludf.DUMMYFUNCTION("IMPORTRANGE(""https://docs.google.com/spreadsheets/d/1zNDSwhgqj8l6v-2sNXfA_Ku8lX_jir7p8Wt-H2-qw80/edit?gid=0#gid=0"",""3888!Z2"")"),8.0)</f>
        <v>8</v>
      </c>
      <c r="L202" s="135">
        <f>IFERROR(__xludf.DUMMYFUNCTION("IMPORTRANGE(""https://docs.google.com/spreadsheets/d/1mIt5QobWVrxUcfcSVFOfokW2W_VnZZbOpF8I70OE6L8/edit?gid=0#gid=0"",""3888!Z2"")"),16.0)</f>
        <v>16</v>
      </c>
      <c r="M202" s="135">
        <f>IFERROR(__xludf.DUMMYFUNCTION("IMPORTRANGE(""https://docs.google.com/spreadsheets/d/1KuJipsGd1IaAyLNhqUabCsnnVzL27mc7bG4cDVfQr38/edit?gid=0#gid=0"",""3888!Z2"")"),0.0)</f>
        <v>0</v>
      </c>
      <c r="N202" s="183"/>
      <c r="O202" s="181">
        <f t="shared" si="6"/>
        <v>55</v>
      </c>
      <c r="P202" s="182"/>
      <c r="Q202" s="182"/>
      <c r="R202" s="183"/>
      <c r="S202" s="182"/>
      <c r="T202" s="182"/>
      <c r="U202" s="47">
        <f t="shared" si="7"/>
        <v>0</v>
      </c>
      <c r="V202" s="182"/>
      <c r="W202" s="182"/>
      <c r="X202" s="182"/>
      <c r="Y202" s="182"/>
      <c r="Z202" s="133"/>
    </row>
    <row r="203">
      <c r="B203" s="53">
        <v>6803889.0</v>
      </c>
      <c r="C203" s="124" t="s">
        <v>442</v>
      </c>
      <c r="D203" s="176" t="s">
        <v>29</v>
      </c>
      <c r="E203" s="177" t="s">
        <v>443</v>
      </c>
      <c r="F203" s="178">
        <f>IFERROR(__xludf.DUMMYFUNCTION("IMPORTRANGE(""https://docs.google.com/spreadsheets/d/14F0mnOF0WZE--9ZM8IXGlHfTDE7lUvjRM8DMPE4taLg/edit?gid=0#gid=0"",""3889!Z2"")"),0.0)</f>
        <v>0</v>
      </c>
      <c r="G203" s="171">
        <f>IFERROR(__xludf.DUMMYFUNCTION("IMPORTRANGE(""https://docs.google.com/spreadsheets/d/1eurEunDb-ysb1pCzsgqDKgU1J0MkfrtwxNJwjUHJpLs/edit?gid=0#gid=0"",""3889!Z2"")"),8.0)</f>
        <v>8</v>
      </c>
      <c r="H203" s="171">
        <f>IFERROR(__xludf.DUMMYFUNCTION("IMPORTRANGE(""https://docs.google.com/spreadsheets/d/1EyFqCuGrfVTzjObzA4vrOWW51hVKTv4iVSlj-F2BIfc/edit?gid=0#gid=0"",""3889!Z2"")"),20.0)</f>
        <v>20</v>
      </c>
      <c r="I203" s="171">
        <f>IFERROR(__xludf.DUMMYFUNCTION("IMPORTRANGE(""https://docs.google.com/spreadsheets/d/1tiL0lGJs8l1FznIlE4Ca1ARpslvtK6kGgBYfzeZoNNw/edit?gid=0#gid=0"",""3889!Z2"")"),0.0)</f>
        <v>0</v>
      </c>
      <c r="J203" s="171">
        <f>IFERROR(__xludf.DUMMYFUNCTION("IMPORTRANGE(""https://docs.google.com/spreadsheets/d/1LLtayRj359azArOKYATkFa1u0XDMGp1Jn4WCUlleQj0/edit?gid=0#gid=0"",""3889!Z2"")"),0.0)</f>
        <v>0</v>
      </c>
      <c r="K203" s="135">
        <f>IFERROR(__xludf.DUMMYFUNCTION("IMPORTRANGE(""https://docs.google.com/spreadsheets/d/1zNDSwhgqj8l6v-2sNXfA_Ku8lX_jir7p8Wt-H2-qw80/edit?gid=0#gid=0"",""3889!Z2"")"),0.0)</f>
        <v>0</v>
      </c>
      <c r="L203" s="135">
        <f>IFERROR(__xludf.DUMMYFUNCTION("IMPORTRANGE(""https://docs.google.com/spreadsheets/d/1mIt5QobWVrxUcfcSVFOfokW2W_VnZZbOpF8I70OE6L8/edit?gid=0#gid=0"",""3889!Z2"")"),0.0)</f>
        <v>0</v>
      </c>
      <c r="M203" s="135">
        <f>IFERROR(__xludf.DUMMYFUNCTION("IMPORTRANGE(""https://docs.google.com/spreadsheets/d/1KuJipsGd1IaAyLNhqUabCsnnVzL27mc7bG4cDVfQr38/edit?gid=0#gid=0"",""3889!Z2"")"),0.0)</f>
        <v>0</v>
      </c>
      <c r="N203" s="183"/>
      <c r="O203" s="181">
        <f t="shared" si="6"/>
        <v>48</v>
      </c>
      <c r="P203" s="59" t="s">
        <v>42</v>
      </c>
      <c r="Q203" s="182"/>
      <c r="R203" s="183"/>
      <c r="S203" s="45">
        <v>20.0</v>
      </c>
      <c r="T203" s="182"/>
      <c r="U203" s="47">
        <f t="shared" si="7"/>
        <v>0</v>
      </c>
      <c r="V203" s="182"/>
      <c r="W203" s="182"/>
      <c r="X203" s="182"/>
      <c r="Y203" s="182"/>
      <c r="Z203" s="133"/>
    </row>
    <row r="204">
      <c r="B204" s="53">
        <v>6803890.0</v>
      </c>
      <c r="C204" s="124" t="s">
        <v>444</v>
      </c>
      <c r="D204" s="176" t="s">
        <v>29</v>
      </c>
      <c r="E204" s="177" t="s">
        <v>445</v>
      </c>
      <c r="F204" s="178">
        <f>IFERROR(__xludf.DUMMYFUNCTION("IMPORTRANGE(""https://docs.google.com/spreadsheets/d/14F0mnOF0WZE--9ZM8IXGlHfTDE7lUvjRM8DMPE4taLg/edit?gid=0#gid=0"",""3890!Z2"")"),24.0)</f>
        <v>24</v>
      </c>
      <c r="G204" s="171">
        <f>IFERROR(__xludf.DUMMYFUNCTION("IMPORTRANGE(""https://docs.google.com/spreadsheets/d/1eurEunDb-ysb1pCzsgqDKgU1J0MkfrtwxNJwjUHJpLs/edit?gid=0#gid=0"",""3890!Z2"")"),0.0)</f>
        <v>0</v>
      </c>
      <c r="H204" s="171">
        <f>IFERROR(__xludf.DUMMYFUNCTION("IMPORTRANGE(""https://docs.google.com/spreadsheets/d/1EyFqCuGrfVTzjObzA4vrOWW51hVKTv4iVSlj-F2BIfc/edit?gid=0#gid=0"",""3890!Z2"")"),17.0)</f>
        <v>17</v>
      </c>
      <c r="I204" s="171">
        <f>IFERROR(__xludf.DUMMYFUNCTION("IMPORTRANGE(""https://docs.google.com/spreadsheets/d/1tiL0lGJs8l1FznIlE4Ca1ARpslvtK6kGgBYfzeZoNNw/edit?gid=0#gid=0"",""3890!Z2"")"),0.0)</f>
        <v>0</v>
      </c>
      <c r="J204" s="171">
        <f>IFERROR(__xludf.DUMMYFUNCTION("IMPORTRANGE(""https://docs.google.com/spreadsheets/d/1LLtayRj359azArOKYATkFa1u0XDMGp1Jn4WCUlleQj0/edit?gid=0#gid=0"",""3890!Z2"")"),0.0)</f>
        <v>0</v>
      </c>
      <c r="K204" s="135">
        <f>IFERROR(__xludf.DUMMYFUNCTION("IMPORTRANGE(""https://docs.google.com/spreadsheets/d/1zNDSwhgqj8l6v-2sNXfA_Ku8lX_jir7p8Wt-H2-qw80/edit?gid=0#gid=0"",""3890!Z2"")"),0.0)</f>
        <v>0</v>
      </c>
      <c r="L204" s="135">
        <f>IFERROR(__xludf.DUMMYFUNCTION("IMPORTRANGE(""https://docs.google.com/spreadsheets/d/1mIt5QobWVrxUcfcSVFOfokW2W_VnZZbOpF8I70OE6L8/edit?gid=0#gid=0"",""3890!Z2"")"),12.0)</f>
        <v>12</v>
      </c>
      <c r="M204" s="135">
        <f>IFERROR(__xludf.DUMMYFUNCTION("IMPORTRANGE(""https://docs.google.com/spreadsheets/d/1KuJipsGd1IaAyLNhqUabCsnnVzL27mc7bG4cDVfQr38/edit?gid=0#gid=0"",""3890!Z2"")"),1.0)</f>
        <v>1</v>
      </c>
      <c r="N204" s="183"/>
      <c r="O204" s="181">
        <f t="shared" si="6"/>
        <v>54</v>
      </c>
      <c r="P204" s="182"/>
      <c r="Q204" s="182"/>
      <c r="R204" s="183"/>
      <c r="S204" s="182"/>
      <c r="T204" s="182"/>
      <c r="U204" s="47">
        <f t="shared" si="7"/>
        <v>0</v>
      </c>
      <c r="V204" s="182"/>
      <c r="W204" s="182"/>
      <c r="X204" s="182"/>
      <c r="Y204" s="182"/>
      <c r="Z204" s="133"/>
    </row>
    <row r="205">
      <c r="B205" s="53">
        <v>6803891.0</v>
      </c>
      <c r="C205" s="124" t="s">
        <v>446</v>
      </c>
      <c r="D205" s="176" t="s">
        <v>29</v>
      </c>
      <c r="E205" s="177" t="s">
        <v>447</v>
      </c>
      <c r="F205" s="178">
        <f>IFERROR(__xludf.DUMMYFUNCTION("IMPORTRANGE(""https://docs.google.com/spreadsheets/d/14F0mnOF0WZE--9ZM8IXGlHfTDE7lUvjRM8DMPE4taLg/edit?gid=0#gid=0"",""3891!Z2"")"),0.0)</f>
        <v>0</v>
      </c>
      <c r="G205" s="171">
        <f>IFERROR(__xludf.DUMMYFUNCTION("IMPORTRANGE(""https://docs.google.com/spreadsheets/d/1eurEunDb-ysb1pCzsgqDKgU1J0MkfrtwxNJwjUHJpLs/edit?gid=0#gid=0"",""3891!Z2"")"),79.0)</f>
        <v>79</v>
      </c>
      <c r="H205" s="171">
        <f>IFERROR(__xludf.DUMMYFUNCTION("IMPORTRANGE(""https://docs.google.com/spreadsheets/d/1EyFqCuGrfVTzjObzA4vrOWW51hVKTv4iVSlj-F2BIfc/edit?gid=0#gid=0"",""3891!Z2"")"),3.0)</f>
        <v>3</v>
      </c>
      <c r="I205" s="171">
        <f>IFERROR(__xludf.DUMMYFUNCTION("IMPORTRANGE(""https://docs.google.com/spreadsheets/d/1tiL0lGJs8l1FznIlE4Ca1ARpslvtK6kGgBYfzeZoNNw/edit?gid=0#gid=0"",""3891!Z2"")"),0.0)</f>
        <v>0</v>
      </c>
      <c r="J205" s="171">
        <f>IFERROR(__xludf.DUMMYFUNCTION("IMPORTRANGE(""https://docs.google.com/spreadsheets/d/1LLtayRj359azArOKYATkFa1u0XDMGp1Jn4WCUlleQj0/edit?gid=0#gid=0"",""3891!Z2"")"),8.0)</f>
        <v>8</v>
      </c>
      <c r="K205" s="135">
        <f>IFERROR(__xludf.DUMMYFUNCTION("IMPORTRANGE(""https://docs.google.com/spreadsheets/d/1zNDSwhgqj8l6v-2sNXfA_Ku8lX_jir7p8Wt-H2-qw80/edit?gid=0#gid=0"",""3891!Z2"")"),0.0)</f>
        <v>0</v>
      </c>
      <c r="L205" s="135">
        <f>IFERROR(__xludf.DUMMYFUNCTION("IMPORTRANGE(""https://docs.google.com/spreadsheets/d/1mIt5QobWVrxUcfcSVFOfokW2W_VnZZbOpF8I70OE6L8/edit?gid=0#gid=0"",""3891!Z2"")"),8.0)</f>
        <v>8</v>
      </c>
      <c r="M205" s="135">
        <f>IFERROR(__xludf.DUMMYFUNCTION("IMPORTRANGE(""https://docs.google.com/spreadsheets/d/1KuJipsGd1IaAyLNhqUabCsnnVzL27mc7bG4cDVfQr38/edit?gid=0#gid=0"",""3891!Z2"")"),0.0)</f>
        <v>0</v>
      </c>
      <c r="N205" s="183"/>
      <c r="O205" s="181">
        <f t="shared" si="6"/>
        <v>98</v>
      </c>
      <c r="P205" s="182"/>
      <c r="Q205" s="182"/>
      <c r="R205" s="183"/>
      <c r="S205" s="182"/>
      <c r="T205" s="182"/>
      <c r="U205" s="47">
        <f t="shared" si="7"/>
        <v>0</v>
      </c>
      <c r="V205" s="182"/>
      <c r="W205" s="182"/>
      <c r="X205" s="182"/>
      <c r="Y205" s="182"/>
      <c r="Z205" s="133"/>
    </row>
    <row r="206">
      <c r="B206" s="53">
        <v>6803892.0</v>
      </c>
      <c r="C206" s="124" t="s">
        <v>448</v>
      </c>
      <c r="D206" s="176" t="s">
        <v>29</v>
      </c>
      <c r="E206" s="177" t="s">
        <v>449</v>
      </c>
      <c r="F206" s="178">
        <f>IFERROR(__xludf.DUMMYFUNCTION("IMPORTRANGE(""https://docs.google.com/spreadsheets/d/14F0mnOF0WZE--9ZM8IXGlHfTDE7lUvjRM8DMPE4taLg/edit?gid=0#gid=0"",""3892!Z2"")"),0.0)</f>
        <v>0</v>
      </c>
      <c r="G206" s="171">
        <f>IFERROR(__xludf.DUMMYFUNCTION("IMPORTRANGE(""https://docs.google.com/spreadsheets/d/1eurEunDb-ysb1pCzsgqDKgU1J0MkfrtwxNJwjUHJpLs/edit?gid=0#gid=0"",""3892!Z2"")"),8.0)</f>
        <v>8</v>
      </c>
      <c r="H206" s="171">
        <f>IFERROR(__xludf.DUMMYFUNCTION("IMPORTRANGE(""https://docs.google.com/spreadsheets/d/1EyFqCuGrfVTzjObzA4vrOWW51hVKTv4iVSlj-F2BIfc/edit?gid=0#gid=0"",""3892!Z2"")"),3.0)</f>
        <v>3</v>
      </c>
      <c r="I206" s="171">
        <f>IFERROR(__xludf.DUMMYFUNCTION("IMPORTRANGE(""https://docs.google.com/spreadsheets/d/1tiL0lGJs8l1FznIlE4Ca1ARpslvtK6kGgBYfzeZoNNw/edit?gid=0#gid=0"",""3892!Z2"")"),0.0)</f>
        <v>0</v>
      </c>
      <c r="J206" s="171">
        <f>IFERROR(__xludf.DUMMYFUNCTION("IMPORTRANGE(""https://docs.google.com/spreadsheets/d/1LLtayRj359azArOKYATkFa1u0XDMGp1Jn4WCUlleQj0/edit?gid=0#gid=0"",""3892!Z2"")"),4.0)</f>
        <v>4</v>
      </c>
      <c r="K206" s="135">
        <f>IFERROR(__xludf.DUMMYFUNCTION("IMPORTRANGE(""https://docs.google.com/spreadsheets/d/1zNDSwhgqj8l6v-2sNXfA_Ku8lX_jir7p8Wt-H2-qw80/edit?gid=0#gid=0"",""3892!Z2"")"),0.0)</f>
        <v>0</v>
      </c>
      <c r="L206" s="135">
        <f>IFERROR(__xludf.DUMMYFUNCTION("IMPORTRANGE(""https://docs.google.com/spreadsheets/d/1mIt5QobWVrxUcfcSVFOfokW2W_VnZZbOpF8I70OE6L8/edit?gid=0#gid=0"",""3892!Z2"")"),0.0)</f>
        <v>0</v>
      </c>
      <c r="M206" s="135">
        <f>IFERROR(__xludf.DUMMYFUNCTION("IMPORTRANGE(""https://docs.google.com/spreadsheets/d/1KuJipsGd1IaAyLNhqUabCsnnVzL27mc7bG4cDVfQr38/edit?gid=0#gid=0"",""3892!Z2"")"),0.0)</f>
        <v>0</v>
      </c>
      <c r="N206" s="183"/>
      <c r="O206" s="181">
        <f t="shared" si="6"/>
        <v>35</v>
      </c>
      <c r="P206" s="59" t="s">
        <v>47</v>
      </c>
      <c r="Q206" s="182"/>
      <c r="R206" s="183"/>
      <c r="S206" s="45">
        <v>20.0</v>
      </c>
      <c r="T206" s="182"/>
      <c r="U206" s="47">
        <f t="shared" si="7"/>
        <v>0</v>
      </c>
      <c r="V206" s="182"/>
      <c r="W206" s="182"/>
      <c r="X206" s="182"/>
      <c r="Y206" s="182"/>
      <c r="Z206" s="133"/>
    </row>
    <row r="207">
      <c r="B207" s="53">
        <v>6803893.0</v>
      </c>
      <c r="C207" s="124" t="s">
        <v>450</v>
      </c>
      <c r="D207" s="176" t="s">
        <v>29</v>
      </c>
      <c r="E207" s="177" t="s">
        <v>451</v>
      </c>
      <c r="F207" s="178">
        <f>IFERROR(__xludf.DUMMYFUNCTION("IMPORTRANGE(""https://docs.google.com/spreadsheets/d/14F0mnOF0WZE--9ZM8IXGlHfTDE7lUvjRM8DMPE4taLg/edit?gid=0#gid=0"",""3893!Z2"")"),8.0)</f>
        <v>8</v>
      </c>
      <c r="G207" s="171">
        <f>IFERROR(__xludf.DUMMYFUNCTION("IMPORTRANGE(""https://docs.google.com/spreadsheets/d/1eurEunDb-ysb1pCzsgqDKgU1J0MkfrtwxNJwjUHJpLs/edit?gid=0#gid=0"",""3893!Z2"")"),8.0)</f>
        <v>8</v>
      </c>
      <c r="H207" s="171">
        <f>IFERROR(__xludf.DUMMYFUNCTION("IMPORTRANGE(""https://docs.google.com/spreadsheets/d/1EyFqCuGrfVTzjObzA4vrOWW51hVKTv4iVSlj-F2BIfc/edit?gid=0#gid=0"",""3893!Z2"")"),9.0)</f>
        <v>9</v>
      </c>
      <c r="I207" s="171">
        <f>IFERROR(__xludf.DUMMYFUNCTION("IMPORTRANGE(""https://docs.google.com/spreadsheets/d/1tiL0lGJs8l1FznIlE4Ca1ARpslvtK6kGgBYfzeZoNNw/edit?gid=0#gid=0"",""3893!Z2"")"),0.0)</f>
        <v>0</v>
      </c>
      <c r="J207" s="171">
        <f>IFERROR(__xludf.DUMMYFUNCTION("IMPORTRANGE(""https://docs.google.com/spreadsheets/d/1LLtayRj359azArOKYATkFa1u0XDMGp1Jn4WCUlleQj0/edit?gid=0#gid=0"",""3893!Z2"")"),0.0)</f>
        <v>0</v>
      </c>
      <c r="K207" s="135">
        <f>IFERROR(__xludf.DUMMYFUNCTION("IMPORTRANGE(""https://docs.google.com/spreadsheets/d/1zNDSwhgqj8l6v-2sNXfA_Ku8lX_jir7p8Wt-H2-qw80/edit?gid=0#gid=0"",""3893!Z2"")"),0.0)</f>
        <v>0</v>
      </c>
      <c r="L207" s="135">
        <f>IFERROR(__xludf.DUMMYFUNCTION("IMPORTRANGE(""https://docs.google.com/spreadsheets/d/1mIt5QobWVrxUcfcSVFOfokW2W_VnZZbOpF8I70OE6L8/edit?gid=0#gid=0"",""3893!Z2"")"),0.0)</f>
        <v>0</v>
      </c>
      <c r="M207" s="135">
        <f>IFERROR(__xludf.DUMMYFUNCTION("IMPORTRANGE(""https://docs.google.com/spreadsheets/d/1KuJipsGd1IaAyLNhqUabCsnnVzL27mc7bG4cDVfQr38/edit?gid=0#gid=0"",""3893!Z2"")"),0.0)</f>
        <v>0</v>
      </c>
      <c r="N207" s="183"/>
      <c r="O207" s="181">
        <f t="shared" si="6"/>
        <v>45</v>
      </c>
      <c r="P207" s="44" t="s">
        <v>196</v>
      </c>
      <c r="Q207" s="182"/>
      <c r="R207" s="183"/>
      <c r="S207" s="45">
        <v>20.0</v>
      </c>
      <c r="T207" s="182"/>
      <c r="U207" s="47">
        <f t="shared" si="7"/>
        <v>0</v>
      </c>
      <c r="V207" s="182"/>
      <c r="W207" s="182"/>
      <c r="X207" s="182"/>
      <c r="Y207" s="182"/>
      <c r="Z207" s="133"/>
    </row>
    <row r="208">
      <c r="B208" s="53">
        <v>6803894.0</v>
      </c>
      <c r="C208" s="124" t="s">
        <v>452</v>
      </c>
      <c r="D208" s="176" t="s">
        <v>29</v>
      </c>
      <c r="E208" s="177" t="s">
        <v>453</v>
      </c>
      <c r="F208" s="178">
        <f>IFERROR(__xludf.DUMMYFUNCTION("IMPORTRANGE(""https://docs.google.com/spreadsheets/d/14F0mnOF0WZE--9ZM8IXGlHfTDE7lUvjRM8DMPE4taLg/edit?gid=0#gid=0"",""3894!Z2"")"),0.0)</f>
        <v>0</v>
      </c>
      <c r="G208" s="171">
        <f>IFERROR(__xludf.DUMMYFUNCTION("IMPORTRANGE(""https://docs.google.com/spreadsheets/d/1eurEunDb-ysb1pCzsgqDKgU1J0MkfrtwxNJwjUHJpLs/edit?gid=0#gid=0"",""3894!Z2"")"),0.0)</f>
        <v>0</v>
      </c>
      <c r="H208" s="171">
        <f>IFERROR(__xludf.DUMMYFUNCTION("IMPORTRANGE(""https://docs.google.com/spreadsheets/d/1EyFqCuGrfVTzjObzA4vrOWW51hVKTv4iVSlj-F2BIfc/edit?gid=0#gid=0"",""3894!Z2"")"),5.0)</f>
        <v>5</v>
      </c>
      <c r="I208" s="171">
        <f>IFERROR(__xludf.DUMMYFUNCTION("IMPORTRANGE(""https://docs.google.com/spreadsheets/d/1tiL0lGJs8l1FznIlE4Ca1ARpslvtK6kGgBYfzeZoNNw/edit?gid=0#gid=0"",""3894!Z2"")"),0.0)</f>
        <v>0</v>
      </c>
      <c r="J208" s="171">
        <f>IFERROR(__xludf.DUMMYFUNCTION("IMPORTRANGE(""https://docs.google.com/spreadsheets/d/1LLtayRj359azArOKYATkFa1u0XDMGp1Jn4WCUlleQj0/edit?gid=0#gid=0"",""3894!Z2"")"),0.0)</f>
        <v>0</v>
      </c>
      <c r="K208" s="135">
        <f>IFERROR(__xludf.DUMMYFUNCTION("IMPORTRANGE(""https://docs.google.com/spreadsheets/d/1zNDSwhgqj8l6v-2sNXfA_Ku8lX_jir7p8Wt-H2-qw80/edit?gid=0#gid=0"",""3894!Z2"")"),4.0)</f>
        <v>4</v>
      </c>
      <c r="L208" s="135">
        <f>IFERROR(__xludf.DUMMYFUNCTION("IMPORTRANGE(""https://docs.google.com/spreadsheets/d/1mIt5QobWVrxUcfcSVFOfokW2W_VnZZbOpF8I70OE6L8/edit?gid=0#gid=0"",""3894!Z2"")"),2.0)</f>
        <v>2</v>
      </c>
      <c r="M208" s="135">
        <f>IFERROR(__xludf.DUMMYFUNCTION("IMPORTRANGE(""https://docs.google.com/spreadsheets/d/1KuJipsGd1IaAyLNhqUabCsnnVzL27mc7bG4cDVfQr38/edit?gid=0#gid=0"",""3894!Z2"")"),0.0)</f>
        <v>0</v>
      </c>
      <c r="N208" s="183"/>
      <c r="O208" s="181">
        <f t="shared" si="6"/>
        <v>31</v>
      </c>
      <c r="P208" s="59" t="s">
        <v>42</v>
      </c>
      <c r="Q208" s="182"/>
      <c r="R208" s="183"/>
      <c r="S208" s="45">
        <v>20.0</v>
      </c>
      <c r="T208" s="182"/>
      <c r="U208" s="47">
        <f t="shared" si="7"/>
        <v>0</v>
      </c>
      <c r="V208" s="182"/>
      <c r="W208" s="182"/>
      <c r="X208" s="182"/>
      <c r="Y208" s="182"/>
      <c r="Z208" s="133"/>
    </row>
    <row r="209">
      <c r="B209" s="53">
        <v>6803895.0</v>
      </c>
      <c r="C209" s="124" t="s">
        <v>454</v>
      </c>
      <c r="D209" s="176" t="s">
        <v>29</v>
      </c>
      <c r="E209" s="177" t="s">
        <v>455</v>
      </c>
      <c r="F209" s="178">
        <f>IFERROR(__xludf.DUMMYFUNCTION("IMPORTRANGE(""https://docs.google.com/spreadsheets/d/14F0mnOF0WZE--9ZM8IXGlHfTDE7lUvjRM8DMPE4taLg/edit?gid=0#gid=0"",""3895!Z2"")"),0.0)</f>
        <v>0</v>
      </c>
      <c r="G209" s="171">
        <f>IFERROR(__xludf.DUMMYFUNCTION("IMPORTRANGE(""https://docs.google.com/spreadsheets/d/1eurEunDb-ysb1pCzsgqDKgU1J0MkfrtwxNJwjUHJpLs/edit?gid=0#gid=0"",""3895!Z2"")"),2.0)</f>
        <v>2</v>
      </c>
      <c r="H209" s="171">
        <f>IFERROR(__xludf.DUMMYFUNCTION("IMPORTRANGE(""https://docs.google.com/spreadsheets/d/1EyFqCuGrfVTzjObzA4vrOWW51hVKTv4iVSlj-F2BIfc/edit?gid=0#gid=0"",""3895!Z2"")"),9.0)</f>
        <v>9</v>
      </c>
      <c r="I209" s="171">
        <f>IFERROR(__xludf.DUMMYFUNCTION("IMPORTRANGE(""https://docs.google.com/spreadsheets/d/1tiL0lGJs8l1FznIlE4Ca1ARpslvtK6kGgBYfzeZoNNw/edit?gid=0#gid=0"",""3895!Z2"")"),0.0)</f>
        <v>0</v>
      </c>
      <c r="J209" s="171">
        <f>IFERROR(__xludf.DUMMYFUNCTION("IMPORTRANGE(""https://docs.google.com/spreadsheets/d/1LLtayRj359azArOKYATkFa1u0XDMGp1Jn4WCUlleQj0/edit?gid=0#gid=0"",""3895!Z2"")"),0.0)</f>
        <v>0</v>
      </c>
      <c r="K209" s="135">
        <f>IFERROR(__xludf.DUMMYFUNCTION("IMPORTRANGE(""https://docs.google.com/spreadsheets/d/1zNDSwhgqj8l6v-2sNXfA_Ku8lX_jir7p8Wt-H2-qw80/edit?gid=0#gid=0"",""3895!Z2"")"),4.0)</f>
        <v>4</v>
      </c>
      <c r="L209" s="135">
        <f>IFERROR(__xludf.DUMMYFUNCTION("IMPORTRANGE(""https://docs.google.com/spreadsheets/d/1mIt5QobWVrxUcfcSVFOfokW2W_VnZZbOpF8I70OE6L8/edit?gid=0#gid=0"",""3895!Z2"")"),0.0)</f>
        <v>0</v>
      </c>
      <c r="M209" s="135">
        <f>IFERROR(__xludf.DUMMYFUNCTION("IMPORTRANGE(""https://docs.google.com/spreadsheets/d/1KuJipsGd1IaAyLNhqUabCsnnVzL27mc7bG4cDVfQr38/edit?gid=0#gid=0"",""3895!Z2"")"),0.0)</f>
        <v>0</v>
      </c>
      <c r="N209" s="183"/>
      <c r="O209" s="181">
        <f t="shared" si="6"/>
        <v>35</v>
      </c>
      <c r="P209" s="59" t="s">
        <v>118</v>
      </c>
      <c r="Q209" s="182"/>
      <c r="R209" s="183"/>
      <c r="S209" s="45">
        <v>20.0</v>
      </c>
      <c r="T209" s="182"/>
      <c r="U209" s="47">
        <f t="shared" si="7"/>
        <v>0</v>
      </c>
      <c r="V209" s="182"/>
      <c r="W209" s="182"/>
      <c r="X209" s="182"/>
      <c r="Y209" s="182"/>
      <c r="Z209" s="133"/>
    </row>
    <row r="210">
      <c r="B210" s="53">
        <v>6803896.0</v>
      </c>
      <c r="C210" s="124" t="s">
        <v>456</v>
      </c>
      <c r="D210" s="176" t="s">
        <v>29</v>
      </c>
      <c r="E210" s="177" t="s">
        <v>457</v>
      </c>
      <c r="F210" s="178">
        <f>IFERROR(__xludf.DUMMYFUNCTION("IMPORTRANGE(""https://docs.google.com/spreadsheets/d/14F0mnOF0WZE--9ZM8IXGlHfTDE7lUvjRM8DMPE4taLg/edit?gid=0#gid=0"",""3896!Z2"")"),8.0)</f>
        <v>8</v>
      </c>
      <c r="G210" s="171">
        <f>IFERROR(__xludf.DUMMYFUNCTION("IMPORTRANGE(""https://docs.google.com/spreadsheets/d/1eurEunDb-ysb1pCzsgqDKgU1J0MkfrtwxNJwjUHJpLs/edit?gid=0#gid=0"",""3896!Z2"")"),0.0)</f>
        <v>0</v>
      </c>
      <c r="H210" s="171">
        <f>IFERROR(__xludf.DUMMYFUNCTION("IMPORTRANGE(""https://docs.google.com/spreadsheets/d/1EyFqCuGrfVTzjObzA4vrOWW51hVKTv4iVSlj-F2BIfc/edit?gid=0#gid=0"",""3896!Z2"")"),7.0)</f>
        <v>7</v>
      </c>
      <c r="I210" s="171">
        <f>IFERROR(__xludf.DUMMYFUNCTION("IMPORTRANGE(""https://docs.google.com/spreadsheets/d/1tiL0lGJs8l1FznIlE4Ca1ARpslvtK6kGgBYfzeZoNNw/edit?gid=0#gid=0"",""3896!Z2"")"),0.0)</f>
        <v>0</v>
      </c>
      <c r="J210" s="171">
        <f>IFERROR(__xludf.DUMMYFUNCTION("IMPORTRANGE(""https://docs.google.com/spreadsheets/d/1LLtayRj359azArOKYATkFa1u0XDMGp1Jn4WCUlleQj0/edit?gid=0#gid=0"",""3896!Z2"")"),4.0)</f>
        <v>4</v>
      </c>
      <c r="K210" s="135">
        <f>IFERROR(__xludf.DUMMYFUNCTION("IMPORTRANGE(""https://docs.google.com/spreadsheets/d/1zNDSwhgqj8l6v-2sNXfA_Ku8lX_jir7p8Wt-H2-qw80/edit?gid=0#gid=0"",""3896!Z2"")"),2.0)</f>
        <v>2</v>
      </c>
      <c r="L210" s="135">
        <f>IFERROR(__xludf.DUMMYFUNCTION("IMPORTRANGE(""https://docs.google.com/spreadsheets/d/1mIt5QobWVrxUcfcSVFOfokW2W_VnZZbOpF8I70OE6L8/edit?gid=0#gid=0"",""3896!Z2"")"),2.0)</f>
        <v>2</v>
      </c>
      <c r="M210" s="135">
        <f>IFERROR(__xludf.DUMMYFUNCTION("IMPORTRANGE(""https://docs.google.com/spreadsheets/d/1KuJipsGd1IaAyLNhqUabCsnnVzL27mc7bG4cDVfQr38/edit?gid=0#gid=0"",""3896!Z2"")"),5.0)</f>
        <v>5</v>
      </c>
      <c r="N210" s="183"/>
      <c r="O210" s="181">
        <f t="shared" si="6"/>
        <v>28</v>
      </c>
      <c r="P210" s="182"/>
      <c r="Q210" s="182"/>
      <c r="R210" s="183"/>
      <c r="S210" s="182"/>
      <c r="T210" s="182"/>
      <c r="U210" s="47">
        <f t="shared" si="7"/>
        <v>0</v>
      </c>
      <c r="V210" s="182"/>
      <c r="W210" s="182"/>
      <c r="X210" s="182"/>
      <c r="Y210" s="182"/>
      <c r="Z210" s="133"/>
    </row>
    <row r="211">
      <c r="B211" s="53">
        <v>6803897.0</v>
      </c>
      <c r="C211" s="124" t="s">
        <v>458</v>
      </c>
      <c r="D211" s="176" t="s">
        <v>29</v>
      </c>
      <c r="E211" s="177" t="s">
        <v>459</v>
      </c>
      <c r="F211" s="178">
        <f>IFERROR(__xludf.DUMMYFUNCTION("IMPORTRANGE(""https://docs.google.com/spreadsheets/d/14F0mnOF0WZE--9ZM8IXGlHfTDE7lUvjRM8DMPE4taLg/edit?gid=0#gid=0"",""3897!Z2"")"),8.0)</f>
        <v>8</v>
      </c>
      <c r="G211" s="171">
        <f>IFERROR(__xludf.DUMMYFUNCTION("IMPORTRANGE(""https://docs.google.com/spreadsheets/d/1eurEunDb-ysb1pCzsgqDKgU1J0MkfrtwxNJwjUHJpLs/edit?gid=0#gid=0"",""3897!Z2"")"),16.0)</f>
        <v>16</v>
      </c>
      <c r="H211" s="171">
        <f>IFERROR(__xludf.DUMMYFUNCTION("IMPORTRANGE(""https://docs.google.com/spreadsheets/d/1EyFqCuGrfVTzjObzA4vrOWW51hVKTv4iVSlj-F2BIfc/edit?gid=0#gid=0"",""3897!Z2"")"),45.0)</f>
        <v>45</v>
      </c>
      <c r="I211" s="171">
        <f>IFERROR(__xludf.DUMMYFUNCTION("IMPORTRANGE(""https://docs.google.com/spreadsheets/d/1tiL0lGJs8l1FznIlE4Ca1ARpslvtK6kGgBYfzeZoNNw/edit?gid=0#gid=0"",""3897!Z2"")"),0.0)</f>
        <v>0</v>
      </c>
      <c r="J211" s="171">
        <f>IFERROR(__xludf.DUMMYFUNCTION("IMPORTRANGE(""https://docs.google.com/spreadsheets/d/1LLtayRj359azArOKYATkFa1u0XDMGp1Jn4WCUlleQj0/edit?gid=0#gid=0"",""3897!Z2"")"),0.0)</f>
        <v>0</v>
      </c>
      <c r="K211" s="135">
        <f>IFERROR(__xludf.DUMMYFUNCTION("IMPORTRANGE(""https://docs.google.com/spreadsheets/d/1zNDSwhgqj8l6v-2sNXfA_Ku8lX_jir7p8Wt-H2-qw80/edit?gid=0#gid=0"",""3897!Z2"")"),4.0)</f>
        <v>4</v>
      </c>
      <c r="L211" s="135">
        <f>IFERROR(__xludf.DUMMYFUNCTION("IMPORTRANGE(""https://docs.google.com/spreadsheets/d/1mIt5QobWVrxUcfcSVFOfokW2W_VnZZbOpF8I70OE6L8/edit?gid=0#gid=0"",""3897!Z2"")"),0.0)</f>
        <v>0</v>
      </c>
      <c r="M211" s="135">
        <f>IFERROR(__xludf.DUMMYFUNCTION("IMPORTRANGE(""https://docs.google.com/spreadsheets/d/1KuJipsGd1IaAyLNhqUabCsnnVzL27mc7bG4cDVfQr38/edit?gid=0#gid=0"",""3897!Z2"")"),0.0)</f>
        <v>0</v>
      </c>
      <c r="N211" s="183"/>
      <c r="O211" s="181">
        <f t="shared" si="6"/>
        <v>73</v>
      </c>
      <c r="P211" s="182"/>
      <c r="Q211" s="182"/>
      <c r="R211" s="183"/>
      <c r="S211" s="182"/>
      <c r="T211" s="182"/>
      <c r="U211" s="47">
        <f t="shared" si="7"/>
        <v>0</v>
      </c>
      <c r="V211" s="182"/>
      <c r="W211" s="182"/>
      <c r="X211" s="182"/>
      <c r="Y211" s="182"/>
      <c r="Z211" s="133"/>
    </row>
    <row r="212">
      <c r="B212" s="53">
        <v>6803898.0</v>
      </c>
      <c r="C212" s="124" t="s">
        <v>460</v>
      </c>
      <c r="D212" s="176" t="s">
        <v>29</v>
      </c>
      <c r="E212" s="177" t="s">
        <v>461</v>
      </c>
      <c r="F212" s="178">
        <f>IFERROR(__xludf.DUMMYFUNCTION("IMPORTRANGE(""https://docs.google.com/spreadsheets/d/14F0mnOF0WZE--9ZM8IXGlHfTDE7lUvjRM8DMPE4taLg/edit?gid=0#gid=0"",""3898!Z2"")"),0.0)</f>
        <v>0</v>
      </c>
      <c r="G212" s="171">
        <f>IFERROR(__xludf.DUMMYFUNCTION("IMPORTRANGE(""https://docs.google.com/spreadsheets/d/1eurEunDb-ysb1pCzsgqDKgU1J0MkfrtwxNJwjUHJpLs/edit?gid=0#gid=0"",""3898!Z2"")"),36.0)</f>
        <v>36</v>
      </c>
      <c r="H212" s="171">
        <f>IFERROR(__xludf.DUMMYFUNCTION("IMPORTRANGE(""https://docs.google.com/spreadsheets/d/1EyFqCuGrfVTzjObzA4vrOWW51hVKTv4iVSlj-F2BIfc/edit?gid=0#gid=0"",""3898!Z2"")"),27.0)</f>
        <v>27</v>
      </c>
      <c r="I212" s="171">
        <f>IFERROR(__xludf.DUMMYFUNCTION("IMPORTRANGE(""https://docs.google.com/spreadsheets/d/1tiL0lGJs8l1FznIlE4Ca1ARpslvtK6kGgBYfzeZoNNw/edit?gid=0#gid=0"",""3898!Z2"")"),0.0)</f>
        <v>0</v>
      </c>
      <c r="J212" s="171">
        <f>IFERROR(__xludf.DUMMYFUNCTION("IMPORTRANGE(""https://docs.google.com/spreadsheets/d/1LLtayRj359azArOKYATkFa1u0XDMGp1Jn4WCUlleQj0/edit?gid=0#gid=0"",""3898!Z2"")"),0.0)</f>
        <v>0</v>
      </c>
      <c r="K212" s="135">
        <f>IFERROR(__xludf.DUMMYFUNCTION("IMPORTRANGE(""https://docs.google.com/spreadsheets/d/1zNDSwhgqj8l6v-2sNXfA_Ku8lX_jir7p8Wt-H2-qw80/edit?gid=0#gid=0"",""3898!Z2"")"),0.0)</f>
        <v>0</v>
      </c>
      <c r="L212" s="135">
        <f>IFERROR(__xludf.DUMMYFUNCTION("IMPORTRANGE(""https://docs.google.com/spreadsheets/d/1mIt5QobWVrxUcfcSVFOfokW2W_VnZZbOpF8I70OE6L8/edit?gid=0#gid=0"",""3898!Z2"")"),0.0)</f>
        <v>0</v>
      </c>
      <c r="M212" s="135">
        <f>IFERROR(__xludf.DUMMYFUNCTION("IMPORTRANGE(""https://docs.google.com/spreadsheets/d/1KuJipsGd1IaAyLNhqUabCsnnVzL27mc7bG4cDVfQr38/edit?gid=0#gid=0"",""3898!Z2"")"),8.0)</f>
        <v>8</v>
      </c>
      <c r="N212" s="183"/>
      <c r="O212" s="181">
        <f t="shared" si="6"/>
        <v>71</v>
      </c>
      <c r="P212" s="182"/>
      <c r="Q212" s="182"/>
      <c r="R212" s="183"/>
      <c r="S212" s="182"/>
      <c r="T212" s="182"/>
      <c r="U212" s="47">
        <f t="shared" si="7"/>
        <v>0</v>
      </c>
      <c r="V212" s="182"/>
      <c r="W212" s="182"/>
      <c r="X212" s="182"/>
      <c r="Y212" s="182"/>
      <c r="Z212" s="133"/>
    </row>
    <row r="213">
      <c r="B213" s="53">
        <v>6803899.0</v>
      </c>
      <c r="C213" s="124" t="s">
        <v>462</v>
      </c>
      <c r="D213" s="176" t="s">
        <v>29</v>
      </c>
      <c r="E213" s="177" t="s">
        <v>463</v>
      </c>
      <c r="F213" s="178">
        <f>IFERROR(__xludf.DUMMYFUNCTION("IMPORTRANGE(""https://docs.google.com/spreadsheets/d/14F0mnOF0WZE--9ZM8IXGlHfTDE7lUvjRM8DMPE4taLg/edit?gid=0#gid=0"",""3899!Z2"")"),8.0)</f>
        <v>8</v>
      </c>
      <c r="G213" s="171">
        <f>IFERROR(__xludf.DUMMYFUNCTION("IMPORTRANGE(""https://docs.google.com/spreadsheets/d/1eurEunDb-ysb1pCzsgqDKgU1J0MkfrtwxNJwjUHJpLs/edit?gid=0#gid=0"",""3899!Z2"")"),32.0)</f>
        <v>32</v>
      </c>
      <c r="H213" s="171">
        <f>IFERROR(__xludf.DUMMYFUNCTION("IMPORTRANGE(""https://docs.google.com/spreadsheets/d/1EyFqCuGrfVTzjObzA4vrOWW51hVKTv4iVSlj-F2BIfc/edit?gid=0#gid=0"",""3899!Z2"")"),3.0)</f>
        <v>3</v>
      </c>
      <c r="I213" s="171">
        <f>IFERROR(__xludf.DUMMYFUNCTION("IMPORTRANGE(""https://docs.google.com/spreadsheets/d/1tiL0lGJs8l1FznIlE4Ca1ARpslvtK6kGgBYfzeZoNNw/edit?gid=0#gid=0"",""3899!Z2"")"),0.0)</f>
        <v>0</v>
      </c>
      <c r="J213" s="171">
        <f>IFERROR(__xludf.DUMMYFUNCTION("IMPORTRANGE(""https://docs.google.com/spreadsheets/d/1LLtayRj359azArOKYATkFa1u0XDMGp1Jn4WCUlleQj0/edit?gid=0#gid=0"",""3899!Z2"")"),8.0)</f>
        <v>8</v>
      </c>
      <c r="K213" s="135">
        <f>IFERROR(__xludf.DUMMYFUNCTION("IMPORTRANGE(""https://docs.google.com/spreadsheets/d/1zNDSwhgqj8l6v-2sNXfA_Ku8lX_jir7p8Wt-H2-qw80/edit?gid=0#gid=0"",""3899!Z2"")"),0.0)</f>
        <v>0</v>
      </c>
      <c r="L213" s="135">
        <f>IFERROR(__xludf.DUMMYFUNCTION("IMPORTRANGE(""https://docs.google.com/spreadsheets/d/1mIt5QobWVrxUcfcSVFOfokW2W_VnZZbOpF8I70OE6L8/edit?gid=0#gid=0"",""3899!Z2"")"),4.0)</f>
        <v>4</v>
      </c>
      <c r="M213" s="135">
        <f>IFERROR(__xludf.DUMMYFUNCTION("IMPORTRANGE(""https://docs.google.com/spreadsheets/d/1KuJipsGd1IaAyLNhqUabCsnnVzL27mc7bG4cDVfQr38/edit?gid=0#gid=0"",""3899!Z2"")"),0.0)</f>
        <v>0</v>
      </c>
      <c r="N213" s="183"/>
      <c r="O213" s="181">
        <f t="shared" si="6"/>
        <v>55</v>
      </c>
      <c r="P213" s="182"/>
      <c r="Q213" s="182"/>
      <c r="R213" s="183"/>
      <c r="S213" s="182"/>
      <c r="T213" s="182"/>
      <c r="U213" s="47">
        <f t="shared" si="7"/>
        <v>0</v>
      </c>
      <c r="V213" s="182"/>
      <c r="W213" s="182"/>
      <c r="X213" s="182"/>
      <c r="Y213" s="182"/>
      <c r="Z213" s="133"/>
    </row>
    <row r="214">
      <c r="B214" s="53">
        <v>6803900.0</v>
      </c>
      <c r="C214" s="124" t="s">
        <v>464</v>
      </c>
      <c r="D214" s="176" t="s">
        <v>29</v>
      </c>
      <c r="E214" s="177" t="s">
        <v>465</v>
      </c>
      <c r="F214" s="178">
        <f>IFERROR(__xludf.DUMMYFUNCTION("IMPORTRANGE(""https://docs.google.com/spreadsheets/d/14F0mnOF0WZE--9ZM8IXGlHfTDE7lUvjRM8DMPE4taLg/edit?gid=0#gid=0"",""3900!Z2"")"),0.0)</f>
        <v>0</v>
      </c>
      <c r="G214" s="171">
        <f>IFERROR(__xludf.DUMMYFUNCTION("IMPORTRANGE(""https://docs.google.com/spreadsheets/d/1eurEunDb-ysb1pCzsgqDKgU1J0MkfrtwxNJwjUHJpLs/edit?gid=0#gid=0"",""3900!Z2"")"),18.0)</f>
        <v>18</v>
      </c>
      <c r="H214" s="171">
        <f>IFERROR(__xludf.DUMMYFUNCTION("IMPORTRANGE(""https://docs.google.com/spreadsheets/d/1EyFqCuGrfVTzjObzA4vrOWW51hVKTv4iVSlj-F2BIfc/edit?gid=0#gid=0"",""3900!Z2"")"),51.0)</f>
        <v>51</v>
      </c>
      <c r="I214" s="171">
        <f>IFERROR(__xludf.DUMMYFUNCTION("IMPORTRANGE(""https://docs.google.com/spreadsheets/d/1tiL0lGJs8l1FznIlE4Ca1ARpslvtK6kGgBYfzeZoNNw/edit?gid=0#gid=0"",""3900!Z2"")"),0.0)</f>
        <v>0</v>
      </c>
      <c r="J214" s="171">
        <f>IFERROR(__xludf.DUMMYFUNCTION("IMPORTRANGE(""https://docs.google.com/spreadsheets/d/1LLtayRj359azArOKYATkFa1u0XDMGp1Jn4WCUlleQj0/edit?gid=0#gid=0"",""3900!Z2"")"),0.0)</f>
        <v>0</v>
      </c>
      <c r="K214" s="135">
        <f>IFERROR(__xludf.DUMMYFUNCTION("IMPORTRANGE(""https://docs.google.com/spreadsheets/d/1zNDSwhgqj8l6v-2sNXfA_Ku8lX_jir7p8Wt-H2-qw80/edit?gid=0#gid=0"",""3900!Z2"")"),0.0)</f>
        <v>0</v>
      </c>
      <c r="L214" s="135">
        <f>IFERROR(__xludf.DUMMYFUNCTION("IMPORTRANGE(""https://docs.google.com/spreadsheets/d/1mIt5QobWVrxUcfcSVFOfokW2W_VnZZbOpF8I70OE6L8/edit?gid=0#gid=0"",""3900!Z2"")"),0.0)</f>
        <v>0</v>
      </c>
      <c r="M214" s="135">
        <f>IFERROR(__xludf.DUMMYFUNCTION("IMPORTRANGE(""https://docs.google.com/spreadsheets/d/1KuJipsGd1IaAyLNhqUabCsnnVzL27mc7bG4cDVfQr38/edit?gid=0#gid=0"",""3900!Z2"")"),8.0)</f>
        <v>8</v>
      </c>
      <c r="N214" s="183"/>
      <c r="O214" s="181">
        <f t="shared" si="6"/>
        <v>77</v>
      </c>
      <c r="P214" s="182"/>
      <c r="Q214" s="182"/>
      <c r="R214" s="183"/>
      <c r="S214" s="182"/>
      <c r="T214" s="182"/>
      <c r="U214" s="47">
        <f t="shared" si="7"/>
        <v>0</v>
      </c>
      <c r="V214" s="182"/>
      <c r="W214" s="182"/>
      <c r="X214" s="182"/>
      <c r="Y214" s="182"/>
      <c r="Z214" s="133"/>
    </row>
    <row r="215">
      <c r="B215" s="53">
        <v>6803901.0</v>
      </c>
      <c r="C215" s="124" t="s">
        <v>466</v>
      </c>
      <c r="D215" s="176" t="s">
        <v>29</v>
      </c>
      <c r="E215" s="177" t="s">
        <v>467</v>
      </c>
      <c r="F215" s="178">
        <f>IFERROR(__xludf.DUMMYFUNCTION("IMPORTRANGE(""https://docs.google.com/spreadsheets/d/14F0mnOF0WZE--9ZM8IXGlHfTDE7lUvjRM8DMPE4taLg/edit?gid=0#gid=0"",""3901!Z2"")"),0.0)</f>
        <v>0</v>
      </c>
      <c r="G215" s="171">
        <f>IFERROR(__xludf.DUMMYFUNCTION("IMPORTRANGE(""https://docs.google.com/spreadsheets/d/1eurEunDb-ysb1pCzsgqDKgU1J0MkfrtwxNJwjUHJpLs/edit?gid=0#gid=0"",""3901!Z2"")"),28.0)</f>
        <v>28</v>
      </c>
      <c r="H215" s="171">
        <f>IFERROR(__xludf.DUMMYFUNCTION("IMPORTRANGE(""https://docs.google.com/spreadsheets/d/1EyFqCuGrfVTzjObzA4vrOWW51hVKTv4iVSlj-F2BIfc/edit?gid=0#gid=0"",""3901!Z2"")"),28.0)</f>
        <v>28</v>
      </c>
      <c r="I215" s="171">
        <f>IFERROR(__xludf.DUMMYFUNCTION("IMPORTRANGE(""https://docs.google.com/spreadsheets/d/1tiL0lGJs8l1FznIlE4Ca1ARpslvtK6kGgBYfzeZoNNw/edit?gid=0#gid=0"",""3901!Z2"")"),0.0)</f>
        <v>0</v>
      </c>
      <c r="J215" s="171">
        <f>IFERROR(__xludf.DUMMYFUNCTION("IMPORTRANGE(""https://docs.google.com/spreadsheets/d/1LLtayRj359azArOKYATkFa1u0XDMGp1Jn4WCUlleQj0/edit?gid=0#gid=0"",""3901!Z2"")"),0.0)</f>
        <v>0</v>
      </c>
      <c r="K215" s="135">
        <f>IFERROR(__xludf.DUMMYFUNCTION("IMPORTRANGE(""https://docs.google.com/spreadsheets/d/1zNDSwhgqj8l6v-2sNXfA_Ku8lX_jir7p8Wt-H2-qw80/edit?gid=0#gid=0"",""3901!Z2"")"),0.0)</f>
        <v>0</v>
      </c>
      <c r="L215" s="135">
        <f>IFERROR(__xludf.DUMMYFUNCTION("IMPORTRANGE(""https://docs.google.com/spreadsheets/d/1mIt5QobWVrxUcfcSVFOfokW2W_VnZZbOpF8I70OE6L8/edit?gid=0#gid=0"",""3901!Z2"")"),0.0)</f>
        <v>0</v>
      </c>
      <c r="M215" s="135">
        <f>IFERROR(__xludf.DUMMYFUNCTION("IMPORTRANGE(""https://docs.google.com/spreadsheets/d/1KuJipsGd1IaAyLNhqUabCsnnVzL27mc7bG4cDVfQr38/edit?gid=0#gid=0"",""3901!Z2"")"),0.0)</f>
        <v>0</v>
      </c>
      <c r="N215" s="183"/>
      <c r="O215" s="181">
        <f t="shared" si="6"/>
        <v>56</v>
      </c>
      <c r="P215" s="182"/>
      <c r="Q215" s="182"/>
      <c r="R215" s="183"/>
      <c r="S215" s="182"/>
      <c r="T215" s="182"/>
      <c r="U215" s="47">
        <f t="shared" si="7"/>
        <v>0</v>
      </c>
      <c r="V215" s="182"/>
      <c r="W215" s="182"/>
      <c r="X215" s="182"/>
      <c r="Y215" s="182"/>
      <c r="Z215" s="133"/>
    </row>
    <row r="216">
      <c r="B216" s="53">
        <v>6803902.0</v>
      </c>
      <c r="C216" s="124" t="s">
        <v>468</v>
      </c>
      <c r="D216" s="176" t="s">
        <v>29</v>
      </c>
      <c r="E216" s="177" t="s">
        <v>469</v>
      </c>
      <c r="F216" s="178">
        <f>IFERROR(__xludf.DUMMYFUNCTION("IMPORTRANGE(""https://docs.google.com/spreadsheets/d/14F0mnOF0WZE--9ZM8IXGlHfTDE7lUvjRM8DMPE4taLg/edit?gid=0#gid=0"",""3902!Z2"")"),8.0)</f>
        <v>8</v>
      </c>
      <c r="G216" s="171">
        <f>IFERROR(__xludf.DUMMYFUNCTION("IMPORTRANGE(""https://docs.google.com/spreadsheets/d/1eurEunDb-ysb1pCzsgqDKgU1J0MkfrtwxNJwjUHJpLs/edit?gid=0#gid=0"",""3902!Z2"")"),8.0)</f>
        <v>8</v>
      </c>
      <c r="H216" s="171">
        <f>IFERROR(__xludf.DUMMYFUNCTION("IMPORTRANGE(""https://docs.google.com/spreadsheets/d/1EyFqCuGrfVTzjObzA4vrOWW51hVKTv4iVSlj-F2BIfc/edit?gid=0#gid=0"",""3902!Z2"")"),28.0)</f>
        <v>28</v>
      </c>
      <c r="I216" s="171">
        <f>IFERROR(__xludf.DUMMYFUNCTION("IMPORTRANGE(""https://docs.google.com/spreadsheets/d/1tiL0lGJs8l1FznIlE4Ca1ARpslvtK6kGgBYfzeZoNNw/edit?gid=0#gid=0"",""3902!Z2"")"),0.0)</f>
        <v>0</v>
      </c>
      <c r="J216" s="171">
        <f>IFERROR(__xludf.DUMMYFUNCTION("IMPORTRANGE(""https://docs.google.com/spreadsheets/d/1LLtayRj359azArOKYATkFa1u0XDMGp1Jn4WCUlleQj0/edit?gid=0#gid=0"",""3902!Z2"")"),0.0)</f>
        <v>0</v>
      </c>
      <c r="K216" s="135">
        <f>IFERROR(__xludf.DUMMYFUNCTION("IMPORTRANGE(""https://docs.google.com/spreadsheets/d/1zNDSwhgqj8l6v-2sNXfA_Ku8lX_jir7p8Wt-H2-qw80/edit?gid=0#gid=0"",""3902!Z2"")"),0.0)</f>
        <v>0</v>
      </c>
      <c r="L216" s="135">
        <f>IFERROR(__xludf.DUMMYFUNCTION("IMPORTRANGE(""https://docs.google.com/spreadsheets/d/1mIt5QobWVrxUcfcSVFOfokW2W_VnZZbOpF8I70OE6L8/edit?gid=0#gid=0"",""3902!Z2"")"),0.0)</f>
        <v>0</v>
      </c>
      <c r="M216" s="135">
        <f>IFERROR(__xludf.DUMMYFUNCTION("IMPORTRANGE(""https://docs.google.com/spreadsheets/d/1KuJipsGd1IaAyLNhqUabCsnnVzL27mc7bG4cDVfQr38/edit?gid=0#gid=0"",""3902!Z2"")"),0.0)</f>
        <v>0</v>
      </c>
      <c r="N216" s="183"/>
      <c r="O216" s="181">
        <f t="shared" si="6"/>
        <v>44</v>
      </c>
      <c r="P216" s="182"/>
      <c r="Q216" s="182"/>
      <c r="R216" s="183"/>
      <c r="S216" s="182"/>
      <c r="T216" s="182"/>
      <c r="U216" s="47">
        <f t="shared" si="7"/>
        <v>0</v>
      </c>
      <c r="V216" s="182"/>
      <c r="W216" s="182"/>
      <c r="X216" s="182"/>
      <c r="Y216" s="182"/>
      <c r="Z216" s="133"/>
    </row>
    <row r="217">
      <c r="B217" s="53">
        <v>6803903.0</v>
      </c>
      <c r="C217" s="124" t="s">
        <v>470</v>
      </c>
      <c r="D217" s="176" t="s">
        <v>29</v>
      </c>
      <c r="E217" s="177" t="s">
        <v>471</v>
      </c>
      <c r="F217" s="178">
        <f>IFERROR(__xludf.DUMMYFUNCTION("IMPORTRANGE(""https://docs.google.com/spreadsheets/d/14F0mnOF0WZE--9ZM8IXGlHfTDE7lUvjRM8DMPE4taLg/edit?gid=0#gid=0"",""3903!Z2"")"),8.0)</f>
        <v>8</v>
      </c>
      <c r="G217" s="171">
        <f>IFERROR(__xludf.DUMMYFUNCTION("IMPORTRANGE(""https://docs.google.com/spreadsheets/d/1eurEunDb-ysb1pCzsgqDKgU1J0MkfrtwxNJwjUHJpLs/edit?gid=0#gid=0"",""3903!Z2"")"),26.0)</f>
        <v>26</v>
      </c>
      <c r="H217" s="171">
        <f>IFERROR(__xludf.DUMMYFUNCTION("IMPORTRANGE(""https://docs.google.com/spreadsheets/d/1EyFqCuGrfVTzjObzA4vrOWW51hVKTv4iVSlj-F2BIfc/edit?gid=0#gid=0"",""3903!Z2"")"),31.0)</f>
        <v>31</v>
      </c>
      <c r="I217" s="171">
        <f>IFERROR(__xludf.DUMMYFUNCTION("IMPORTRANGE(""https://docs.google.com/spreadsheets/d/1tiL0lGJs8l1FznIlE4Ca1ARpslvtK6kGgBYfzeZoNNw/edit?gid=0#gid=0"",""3903!Z2"")"),0.0)</f>
        <v>0</v>
      </c>
      <c r="J217" s="171">
        <f>IFERROR(__xludf.DUMMYFUNCTION("IMPORTRANGE(""https://docs.google.com/spreadsheets/d/1LLtayRj359azArOKYATkFa1u0XDMGp1Jn4WCUlleQj0/edit?gid=0#gid=0"",""3903!Z2"")"),4.0)</f>
        <v>4</v>
      </c>
      <c r="K217" s="135">
        <f>IFERROR(__xludf.DUMMYFUNCTION("IMPORTRANGE(""https://docs.google.com/spreadsheets/d/1zNDSwhgqj8l6v-2sNXfA_Ku8lX_jir7p8Wt-H2-qw80/edit?gid=0#gid=0"",""3903!Z2"")"),8.0)</f>
        <v>8</v>
      </c>
      <c r="L217" s="135">
        <f>IFERROR(__xludf.DUMMYFUNCTION("IMPORTRANGE(""https://docs.google.com/spreadsheets/d/1mIt5QobWVrxUcfcSVFOfokW2W_VnZZbOpF8I70OE6L8/edit?gid=0#gid=0"",""3903!Z2"")"),4.0)</f>
        <v>4</v>
      </c>
      <c r="M217" s="135">
        <f>IFERROR(__xludf.DUMMYFUNCTION("IMPORTRANGE(""https://docs.google.com/spreadsheets/d/1KuJipsGd1IaAyLNhqUabCsnnVzL27mc7bG4cDVfQr38/edit?gid=0#gid=0"",""3903!Z2"")"),0.0)</f>
        <v>0</v>
      </c>
      <c r="N217" s="183"/>
      <c r="O217" s="181">
        <f t="shared" si="6"/>
        <v>81</v>
      </c>
      <c r="P217" s="182"/>
      <c r="Q217" s="182"/>
      <c r="R217" s="183"/>
      <c r="S217" s="182"/>
      <c r="T217" s="182"/>
      <c r="U217" s="47">
        <f t="shared" si="7"/>
        <v>0</v>
      </c>
      <c r="V217" s="182"/>
      <c r="W217" s="182"/>
      <c r="X217" s="182"/>
      <c r="Y217" s="182"/>
      <c r="Z217" s="133"/>
    </row>
    <row r="218">
      <c r="B218" s="53">
        <v>6803904.0</v>
      </c>
      <c r="C218" s="124" t="s">
        <v>472</v>
      </c>
      <c r="D218" s="176" t="s">
        <v>29</v>
      </c>
      <c r="E218" s="177" t="s">
        <v>473</v>
      </c>
      <c r="F218" s="178">
        <f>IFERROR(__xludf.DUMMYFUNCTION("IMPORTRANGE(""https://docs.google.com/spreadsheets/d/14F0mnOF0WZE--9ZM8IXGlHfTDE7lUvjRM8DMPE4taLg/edit?gid=0#gid=0"",""3904!Z2"")"),0.0)</f>
        <v>0</v>
      </c>
      <c r="G218" s="171">
        <f>IFERROR(__xludf.DUMMYFUNCTION("IMPORTRANGE(""https://docs.google.com/spreadsheets/d/1eurEunDb-ysb1pCzsgqDKgU1J0MkfrtwxNJwjUHJpLs/edit?gid=0#gid=0"",""3904!Z2"")"),8.0)</f>
        <v>8</v>
      </c>
      <c r="H218" s="171">
        <f>IFERROR(__xludf.DUMMYFUNCTION("IMPORTRANGE(""https://docs.google.com/spreadsheets/d/1EyFqCuGrfVTzjObzA4vrOWW51hVKTv4iVSlj-F2BIfc/edit?gid=0#gid=0"",""3904!Z2"")"),8.0)</f>
        <v>8</v>
      </c>
      <c r="I218" s="171">
        <f>IFERROR(__xludf.DUMMYFUNCTION("IMPORTRANGE(""https://docs.google.com/spreadsheets/d/1tiL0lGJs8l1FznIlE4Ca1ARpslvtK6kGgBYfzeZoNNw/edit?gid=0#gid=0"",""3904!Z2"")"),0.0)</f>
        <v>0</v>
      </c>
      <c r="J218" s="171">
        <f>IFERROR(__xludf.DUMMYFUNCTION("IMPORTRANGE(""https://docs.google.com/spreadsheets/d/1LLtayRj359azArOKYATkFa1u0XDMGp1Jn4WCUlleQj0/edit?gid=0#gid=0"",""3904!Z2"")"),4.0)</f>
        <v>4</v>
      </c>
      <c r="K218" s="135">
        <f>IFERROR(__xludf.DUMMYFUNCTION("IMPORTRANGE(""https://docs.google.com/spreadsheets/d/1zNDSwhgqj8l6v-2sNXfA_Ku8lX_jir7p8Wt-H2-qw80/edit?gid=0#gid=0"",""3904!Z2"")"),0.0)</f>
        <v>0</v>
      </c>
      <c r="L218" s="135">
        <f>IFERROR(__xludf.DUMMYFUNCTION("IMPORTRANGE(""https://docs.google.com/spreadsheets/d/1mIt5QobWVrxUcfcSVFOfokW2W_VnZZbOpF8I70OE6L8/edit?gid=0#gid=0"",""3904!Z2"")"),0.0)</f>
        <v>0</v>
      </c>
      <c r="M218" s="135">
        <f>IFERROR(__xludf.DUMMYFUNCTION("IMPORTRANGE(""https://docs.google.com/spreadsheets/d/1KuJipsGd1IaAyLNhqUabCsnnVzL27mc7bG4cDVfQr38/edit?gid=0#gid=0"",""3904!Z2"")"),0.0)</f>
        <v>0</v>
      </c>
      <c r="N218" s="183"/>
      <c r="O218" s="181">
        <f t="shared" si="6"/>
        <v>40</v>
      </c>
      <c r="P218" s="59" t="s">
        <v>34</v>
      </c>
      <c r="Q218" s="182"/>
      <c r="R218" s="183"/>
      <c r="S218" s="45">
        <v>20.0</v>
      </c>
      <c r="T218" s="182"/>
      <c r="U218" s="47">
        <f t="shared" si="7"/>
        <v>0</v>
      </c>
      <c r="V218" s="182"/>
      <c r="W218" s="182"/>
      <c r="X218" s="182"/>
      <c r="Y218" s="182"/>
      <c r="Z218" s="133"/>
    </row>
    <row r="219">
      <c r="B219" s="53">
        <v>6803905.0</v>
      </c>
      <c r="C219" s="124" t="s">
        <v>474</v>
      </c>
      <c r="D219" s="176" t="s">
        <v>29</v>
      </c>
      <c r="E219" s="177" t="s">
        <v>475</v>
      </c>
      <c r="F219" s="178">
        <f>IFERROR(__xludf.DUMMYFUNCTION("IMPORTRANGE(""https://docs.google.com/spreadsheets/d/14F0mnOF0WZE--9ZM8IXGlHfTDE7lUvjRM8DMPE4taLg/edit?gid=0#gid=0"",""3905!Z2"")"),0.0)</f>
        <v>0</v>
      </c>
      <c r="G219" s="171">
        <f>IFERROR(__xludf.DUMMYFUNCTION("IMPORTRANGE(""https://docs.google.com/spreadsheets/d/1eurEunDb-ysb1pCzsgqDKgU1J0MkfrtwxNJwjUHJpLs/edit?gid=0#gid=0"",""3905!Z2"")"),8.0)</f>
        <v>8</v>
      </c>
      <c r="H219" s="171">
        <f>IFERROR(__xludf.DUMMYFUNCTION("IMPORTRANGE(""https://docs.google.com/spreadsheets/d/1EyFqCuGrfVTzjObzA4vrOWW51hVKTv4iVSlj-F2BIfc/edit?gid=0#gid=0"",""3905!Z2"")"),24.0)</f>
        <v>24</v>
      </c>
      <c r="I219" s="171">
        <f>IFERROR(__xludf.DUMMYFUNCTION("IMPORTRANGE(""https://docs.google.com/spreadsheets/d/1tiL0lGJs8l1FznIlE4Ca1ARpslvtK6kGgBYfzeZoNNw/edit?gid=0#gid=0"",""3905!Z2"")"),0.0)</f>
        <v>0</v>
      </c>
      <c r="J219" s="171">
        <f>IFERROR(__xludf.DUMMYFUNCTION("IMPORTRANGE(""https://docs.google.com/spreadsheets/d/1LLtayRj359azArOKYATkFa1u0XDMGp1Jn4WCUlleQj0/edit?gid=0#gid=0"",""3905!Z2"")"),0.0)</f>
        <v>0</v>
      </c>
      <c r="K219" s="135">
        <f>IFERROR(__xludf.DUMMYFUNCTION("IMPORTRANGE(""https://docs.google.com/spreadsheets/d/1zNDSwhgqj8l6v-2sNXfA_Ku8lX_jir7p8Wt-H2-qw80/edit?gid=0#gid=0"",""3905!Z2"")"),8.0)</f>
        <v>8</v>
      </c>
      <c r="L219" s="135">
        <f>IFERROR(__xludf.DUMMYFUNCTION("IMPORTRANGE(""https://docs.google.com/spreadsheets/d/1mIt5QobWVrxUcfcSVFOfokW2W_VnZZbOpF8I70OE6L8/edit?gid=0#gid=0"",""3905!Z2"")"),9.0)</f>
        <v>9</v>
      </c>
      <c r="M219" s="135">
        <f>IFERROR(__xludf.DUMMYFUNCTION("IMPORTRANGE(""https://docs.google.com/spreadsheets/d/1KuJipsGd1IaAyLNhqUabCsnnVzL27mc7bG4cDVfQr38/edit?gid=0#gid=0"",""3905!Z2"")"),1.0)</f>
        <v>1</v>
      </c>
      <c r="N219" s="183"/>
      <c r="O219" s="181">
        <f t="shared" si="6"/>
        <v>50</v>
      </c>
      <c r="P219" s="182"/>
      <c r="Q219" s="182"/>
      <c r="R219" s="183"/>
      <c r="S219" s="182"/>
      <c r="T219" s="182"/>
      <c r="U219" s="47">
        <f t="shared" si="7"/>
        <v>0</v>
      </c>
      <c r="V219" s="182"/>
      <c r="W219" s="182"/>
      <c r="X219" s="182"/>
      <c r="Y219" s="182"/>
      <c r="Z219" s="133"/>
    </row>
    <row r="220">
      <c r="B220" s="53">
        <v>6803906.0</v>
      </c>
      <c r="C220" s="124" t="s">
        <v>476</v>
      </c>
      <c r="D220" s="176" t="s">
        <v>29</v>
      </c>
      <c r="E220" s="177" t="s">
        <v>477</v>
      </c>
      <c r="F220" s="178">
        <f>IFERROR(__xludf.DUMMYFUNCTION("IMPORTRANGE(""https://docs.google.com/spreadsheets/d/14F0mnOF0WZE--9ZM8IXGlHfTDE7lUvjRM8DMPE4taLg/edit?gid=0#gid=0"",""3906!Z2"")"),0.0)</f>
        <v>0</v>
      </c>
      <c r="G220" s="171">
        <f>IFERROR(__xludf.DUMMYFUNCTION("IMPORTRANGE(""https://docs.google.com/spreadsheets/d/1eurEunDb-ysb1pCzsgqDKgU1J0MkfrtwxNJwjUHJpLs/edit?gid=0#gid=0"",""3906!Z2"")"),16.0)</f>
        <v>16</v>
      </c>
      <c r="H220" s="171">
        <f>IFERROR(__xludf.DUMMYFUNCTION("IMPORTRANGE(""https://docs.google.com/spreadsheets/d/1EyFqCuGrfVTzjObzA4vrOWW51hVKTv4iVSlj-F2BIfc/edit?gid=0#gid=0"",""3906!Z2"")"),44.0)</f>
        <v>44</v>
      </c>
      <c r="I220" s="171">
        <f>IFERROR(__xludf.DUMMYFUNCTION("IMPORTRANGE(""https://docs.google.com/spreadsheets/d/1tiL0lGJs8l1FznIlE4Ca1ARpslvtK6kGgBYfzeZoNNw/edit?gid=0#gid=0"",""3906!Z2"")"),0.0)</f>
        <v>0</v>
      </c>
      <c r="J220" s="171">
        <f>IFERROR(__xludf.DUMMYFUNCTION("IMPORTRANGE(""https://docs.google.com/spreadsheets/d/1LLtayRj359azArOKYATkFa1u0XDMGp1Jn4WCUlleQj0/edit?gid=0#gid=0"",""3906!Z2"")"),0.0)</f>
        <v>0</v>
      </c>
      <c r="K220" s="135">
        <f>IFERROR(__xludf.DUMMYFUNCTION("IMPORTRANGE(""https://docs.google.com/spreadsheets/d/1zNDSwhgqj8l6v-2sNXfA_Ku8lX_jir7p8Wt-H2-qw80/edit?gid=0#gid=0"",""3906!Z2"")"),0.0)</f>
        <v>0</v>
      </c>
      <c r="L220" s="135">
        <f>IFERROR(__xludf.DUMMYFUNCTION("IMPORTRANGE(""https://docs.google.com/spreadsheets/d/1mIt5QobWVrxUcfcSVFOfokW2W_VnZZbOpF8I70OE6L8/edit?gid=0#gid=0"",""3906!Z2"")"),4.0)</f>
        <v>4</v>
      </c>
      <c r="M220" s="135">
        <f>IFERROR(__xludf.DUMMYFUNCTION("IMPORTRANGE(""https://docs.google.com/spreadsheets/d/1KuJipsGd1IaAyLNhqUabCsnnVzL27mc7bG4cDVfQr38/edit?gid=0#gid=0"",""3906!Z2"")"),0.0)</f>
        <v>0</v>
      </c>
      <c r="N220" s="183"/>
      <c r="O220" s="181">
        <f t="shared" si="6"/>
        <v>64</v>
      </c>
      <c r="P220" s="182"/>
      <c r="Q220" s="182"/>
      <c r="R220" s="183"/>
      <c r="S220" s="182"/>
      <c r="T220" s="182"/>
      <c r="U220" s="47">
        <f t="shared" si="7"/>
        <v>0</v>
      </c>
      <c r="V220" s="182"/>
      <c r="W220" s="182"/>
      <c r="X220" s="182"/>
      <c r="Y220" s="182"/>
      <c r="Z220" s="133"/>
    </row>
    <row r="221">
      <c r="B221" s="53">
        <v>6803907.0</v>
      </c>
      <c r="C221" s="124" t="s">
        <v>478</v>
      </c>
      <c r="D221" s="176" t="s">
        <v>29</v>
      </c>
      <c r="E221" s="177" t="s">
        <v>479</v>
      </c>
      <c r="F221" s="178">
        <f>IFERROR(__xludf.DUMMYFUNCTION("IMPORTRANGE(""https://docs.google.com/spreadsheets/d/14F0mnOF0WZE--9ZM8IXGlHfTDE7lUvjRM8DMPE4taLg/edit?gid=0#gid=0"",""3907!Z2"")"),8.0)</f>
        <v>8</v>
      </c>
      <c r="G221" s="171">
        <f>IFERROR(__xludf.DUMMYFUNCTION("IMPORTRANGE(""https://docs.google.com/spreadsheets/d/1eurEunDb-ysb1pCzsgqDKgU1J0MkfrtwxNJwjUHJpLs/edit?gid=0#gid=0"",""3907!Z2"")"),24.0)</f>
        <v>24</v>
      </c>
      <c r="H221" s="171">
        <f>IFERROR(__xludf.DUMMYFUNCTION("IMPORTRANGE(""https://docs.google.com/spreadsheets/d/1EyFqCuGrfVTzjObzA4vrOWW51hVKTv4iVSlj-F2BIfc/edit?gid=0#gid=0"",""3907!Z2"")"),43.0)</f>
        <v>43</v>
      </c>
      <c r="I221" s="171">
        <f>IFERROR(__xludf.DUMMYFUNCTION("IMPORTRANGE(""https://docs.google.com/spreadsheets/d/1tiL0lGJs8l1FznIlE4Ca1ARpslvtK6kGgBYfzeZoNNw/edit?gid=0#gid=0"",""3907!Z2"")"),0.0)</f>
        <v>0</v>
      </c>
      <c r="J221" s="171">
        <f>IFERROR(__xludf.DUMMYFUNCTION("IMPORTRANGE(""https://docs.google.com/spreadsheets/d/1LLtayRj359azArOKYATkFa1u0XDMGp1Jn4WCUlleQj0/edit?gid=0#gid=0"",""3907!Z2"")"),0.0)</f>
        <v>0</v>
      </c>
      <c r="K221" s="135">
        <f>IFERROR(__xludf.DUMMYFUNCTION("IMPORTRANGE(""https://docs.google.com/spreadsheets/d/1zNDSwhgqj8l6v-2sNXfA_Ku8lX_jir7p8Wt-H2-qw80/edit?gid=0#gid=0"",""3907!Z2"")"),0.0)</f>
        <v>0</v>
      </c>
      <c r="L221" s="135">
        <f>IFERROR(__xludf.DUMMYFUNCTION("IMPORTRANGE(""https://docs.google.com/spreadsheets/d/1mIt5QobWVrxUcfcSVFOfokW2W_VnZZbOpF8I70OE6L8/edit?gid=0#gid=0"",""3907!Z2"")"),8.0)</f>
        <v>8</v>
      </c>
      <c r="M221" s="135">
        <f>IFERROR(__xludf.DUMMYFUNCTION("IMPORTRANGE(""https://docs.google.com/spreadsheets/d/1KuJipsGd1IaAyLNhqUabCsnnVzL27mc7bG4cDVfQr38/edit?gid=0#gid=0"",""3907!Z2"")"),0.0)</f>
        <v>0</v>
      </c>
      <c r="N221" s="184"/>
      <c r="O221" s="181">
        <f t="shared" si="6"/>
        <v>83</v>
      </c>
      <c r="P221" s="182"/>
      <c r="Q221" s="182"/>
      <c r="R221" s="183"/>
      <c r="S221" s="182"/>
      <c r="T221" s="182"/>
      <c r="U221" s="47">
        <f t="shared" si="7"/>
        <v>0</v>
      </c>
      <c r="V221" s="182"/>
      <c r="W221" s="182"/>
      <c r="X221" s="182"/>
      <c r="Y221" s="182"/>
      <c r="Z221" s="133"/>
    </row>
    <row r="222">
      <c r="B222" s="53">
        <v>6803908.0</v>
      </c>
      <c r="C222" s="124" t="s">
        <v>480</v>
      </c>
      <c r="D222" s="176" t="s">
        <v>29</v>
      </c>
      <c r="E222" s="177" t="s">
        <v>481</v>
      </c>
      <c r="F222" s="178">
        <f>IFERROR(__xludf.DUMMYFUNCTION("IMPORTRANGE(""https://docs.google.com/spreadsheets/d/14F0mnOF0WZE--9ZM8IXGlHfTDE7lUvjRM8DMPE4taLg/edit?gid=0#gid=0"",""3908!Z2"")"),16.0)</f>
        <v>16</v>
      </c>
      <c r="G222" s="171">
        <f>IFERROR(__xludf.DUMMYFUNCTION("IMPORTRANGE(""https://docs.google.com/spreadsheets/d/1eurEunDb-ysb1pCzsgqDKgU1J0MkfrtwxNJwjUHJpLs/edit?gid=0#gid=0"",""3908!Z2"")"),24.0)</f>
        <v>24</v>
      </c>
      <c r="H222" s="171">
        <f>IFERROR(__xludf.DUMMYFUNCTION("IMPORTRANGE(""https://docs.google.com/spreadsheets/d/1EyFqCuGrfVTzjObzA4vrOWW51hVKTv4iVSlj-F2BIfc/edit?gid=0#gid=0"",""3908!Z2"")"),8.0)</f>
        <v>8</v>
      </c>
      <c r="I222" s="171">
        <f>IFERROR(__xludf.DUMMYFUNCTION("IMPORTRANGE(""https://docs.google.com/spreadsheets/d/1tiL0lGJs8l1FznIlE4Ca1ARpslvtK6kGgBYfzeZoNNw/edit?gid=0#gid=0"",""3908!Z2"")"),0.0)</f>
        <v>0</v>
      </c>
      <c r="J222" s="171">
        <f>IFERROR(__xludf.DUMMYFUNCTION("IMPORTRANGE(""https://docs.google.com/spreadsheets/d/1LLtayRj359azArOKYATkFa1u0XDMGp1Jn4WCUlleQj0/edit?gid=0#gid=0"",""3908!Z2"")"),0.0)</f>
        <v>0</v>
      </c>
      <c r="K222" s="135">
        <f>IFERROR(__xludf.DUMMYFUNCTION("IMPORTRANGE(""https://docs.google.com/spreadsheets/d/1zNDSwhgqj8l6v-2sNXfA_Ku8lX_jir7p8Wt-H2-qw80/edit?gid=0#gid=0"",""3908!Z2"")"),10.0)</f>
        <v>10</v>
      </c>
      <c r="L222" s="135">
        <f>IFERROR(__xludf.DUMMYFUNCTION("IMPORTRANGE(""https://docs.google.com/spreadsheets/d/1mIt5QobWVrxUcfcSVFOfokW2W_VnZZbOpF8I70OE6L8/edit?gid=0#gid=0"",""3908!Z2"")"),0.0)</f>
        <v>0</v>
      </c>
      <c r="M222" s="135">
        <f>IFERROR(__xludf.DUMMYFUNCTION("IMPORTRANGE(""https://docs.google.com/spreadsheets/d/1KuJipsGd1IaAyLNhqUabCsnnVzL27mc7bG4cDVfQr38/edit?gid=0#gid=0"",""3908!Z2"")"),0.0)</f>
        <v>0</v>
      </c>
      <c r="N222" s="183"/>
      <c r="O222" s="181">
        <f t="shared" si="6"/>
        <v>58</v>
      </c>
      <c r="P222" s="182"/>
      <c r="Q222" s="182"/>
      <c r="R222" s="183"/>
      <c r="S222" s="182"/>
      <c r="T222" s="182"/>
      <c r="U222" s="47">
        <f t="shared" si="7"/>
        <v>0</v>
      </c>
      <c r="V222" s="182"/>
      <c r="W222" s="182"/>
      <c r="X222" s="182"/>
      <c r="Y222" s="182"/>
      <c r="Z222" s="133"/>
    </row>
    <row r="223">
      <c r="B223" s="53">
        <v>6803909.0</v>
      </c>
      <c r="C223" s="124" t="s">
        <v>482</v>
      </c>
      <c r="D223" s="176" t="s">
        <v>29</v>
      </c>
      <c r="E223" s="177" t="s">
        <v>483</v>
      </c>
      <c r="F223" s="178">
        <f>IFERROR(__xludf.DUMMYFUNCTION("IMPORTRANGE(""https://docs.google.com/spreadsheets/d/14F0mnOF0WZE--9ZM8IXGlHfTDE7lUvjRM8DMPE4taLg/edit?gid=0#gid=0"",""3909!Z2"")"),0.0)</f>
        <v>0</v>
      </c>
      <c r="G223" s="171">
        <f>IFERROR(__xludf.DUMMYFUNCTION("IMPORTRANGE(""https://docs.google.com/spreadsheets/d/1eurEunDb-ysb1pCzsgqDKgU1J0MkfrtwxNJwjUHJpLs/edit?gid=0#gid=0"",""3909!Z2"")"),44.0)</f>
        <v>44</v>
      </c>
      <c r="H223" s="171">
        <f>IFERROR(__xludf.DUMMYFUNCTION("IMPORTRANGE(""https://docs.google.com/spreadsheets/d/1EyFqCuGrfVTzjObzA4vrOWW51hVKTv4iVSlj-F2BIfc/edit?gid=0#gid=0"",""3909!Z2"")"),31.0)</f>
        <v>31</v>
      </c>
      <c r="I223" s="171">
        <f>IFERROR(__xludf.DUMMYFUNCTION("IMPORTRANGE(""https://docs.google.com/spreadsheets/d/1tiL0lGJs8l1FznIlE4Ca1ARpslvtK6kGgBYfzeZoNNw/edit?gid=0#gid=0"",""3909!Z2"")"),0.0)</f>
        <v>0</v>
      </c>
      <c r="J223" s="171">
        <f>IFERROR(__xludf.DUMMYFUNCTION("IMPORTRANGE(""https://docs.google.com/spreadsheets/d/1LLtayRj359azArOKYATkFa1u0XDMGp1Jn4WCUlleQj0/edit?gid=0#gid=0"",""3909!Z2"")"),4.0)</f>
        <v>4</v>
      </c>
      <c r="K223" s="135">
        <f>IFERROR(__xludf.DUMMYFUNCTION("IMPORTRANGE(""https://docs.google.com/spreadsheets/d/1zNDSwhgqj8l6v-2sNXfA_Ku8lX_jir7p8Wt-H2-qw80/edit?gid=0#gid=0"",""3909!Z2"")"),0.0)</f>
        <v>0</v>
      </c>
      <c r="L223" s="135">
        <f>IFERROR(__xludf.DUMMYFUNCTION("IMPORTRANGE(""https://docs.google.com/spreadsheets/d/1mIt5QobWVrxUcfcSVFOfokW2W_VnZZbOpF8I70OE6L8/edit?gid=0#gid=0"",""3909!Z2"")"),0.0)</f>
        <v>0</v>
      </c>
      <c r="M223" s="135">
        <f>IFERROR(__xludf.DUMMYFUNCTION("IMPORTRANGE(""https://docs.google.com/spreadsheets/d/1KuJipsGd1IaAyLNhqUabCsnnVzL27mc7bG4cDVfQr38/edit?gid=0#gid=0"",""3909!Z2"")"),0.0)</f>
        <v>0</v>
      </c>
      <c r="N223" s="183"/>
      <c r="O223" s="181">
        <f t="shared" si="6"/>
        <v>79</v>
      </c>
      <c r="P223" s="182"/>
      <c r="Q223" s="182"/>
      <c r="R223" s="183"/>
      <c r="S223" s="182"/>
      <c r="T223" s="182"/>
      <c r="U223" s="47">
        <f t="shared" si="7"/>
        <v>0</v>
      </c>
      <c r="V223" s="182"/>
      <c r="W223" s="182"/>
      <c r="X223" s="182"/>
      <c r="Y223" s="182"/>
      <c r="Z223" s="133"/>
    </row>
    <row r="224">
      <c r="B224" s="53">
        <v>6803910.0</v>
      </c>
      <c r="C224" s="124" t="s">
        <v>484</v>
      </c>
      <c r="D224" s="176" t="s">
        <v>29</v>
      </c>
      <c r="E224" s="177" t="s">
        <v>485</v>
      </c>
      <c r="F224" s="178">
        <f>IFERROR(__xludf.DUMMYFUNCTION("IMPORTRANGE(""https://docs.google.com/spreadsheets/d/14F0mnOF0WZE--9ZM8IXGlHfTDE7lUvjRM8DMPE4taLg/edit?gid=0#gid=0"",""3910!Z2"")"),0.0)</f>
        <v>0</v>
      </c>
      <c r="G224" s="171">
        <f>IFERROR(__xludf.DUMMYFUNCTION("IMPORTRANGE(""https://docs.google.com/spreadsheets/d/1eurEunDb-ysb1pCzsgqDKgU1J0MkfrtwxNJwjUHJpLs/edit?gid=0#gid=0"",""3910!Z2"")"),8.0)</f>
        <v>8</v>
      </c>
      <c r="H224" s="171">
        <f>IFERROR(__xludf.DUMMYFUNCTION("IMPORTRANGE(""https://docs.google.com/spreadsheets/d/1EyFqCuGrfVTzjObzA4vrOWW51hVKTv4iVSlj-F2BIfc/edit?gid=0#gid=0"",""3910!Z2"")"),51.0)</f>
        <v>51</v>
      </c>
      <c r="I224" s="171">
        <f>IFERROR(__xludf.DUMMYFUNCTION("IMPORTRANGE(""https://docs.google.com/spreadsheets/d/1tiL0lGJs8l1FznIlE4Ca1ARpslvtK6kGgBYfzeZoNNw/edit?gid=0#gid=0"",""3910!Z2"")"),0.0)</f>
        <v>0</v>
      </c>
      <c r="J224" s="171">
        <f>IFERROR(__xludf.DUMMYFUNCTION("IMPORTRANGE(""https://docs.google.com/spreadsheets/d/1LLtayRj359azArOKYATkFa1u0XDMGp1Jn4WCUlleQj0/edit?gid=0#gid=0"",""3910!Z2"")"),0.0)</f>
        <v>0</v>
      </c>
      <c r="K224" s="135">
        <f>IFERROR(__xludf.DUMMYFUNCTION("IMPORTRANGE(""https://docs.google.com/spreadsheets/d/1zNDSwhgqj8l6v-2sNXfA_Ku8lX_jir7p8Wt-H2-qw80/edit?gid=0#gid=0"",""3910!Z2"")"),0.0)</f>
        <v>0</v>
      </c>
      <c r="L224" s="135">
        <f>IFERROR(__xludf.DUMMYFUNCTION("IMPORTRANGE(""https://docs.google.com/spreadsheets/d/1mIt5QobWVrxUcfcSVFOfokW2W_VnZZbOpF8I70OE6L8/edit?gid=0#gid=0"",""3910!Z2"")"),0.0)</f>
        <v>0</v>
      </c>
      <c r="M224" s="135">
        <f>IFERROR(__xludf.DUMMYFUNCTION("IMPORTRANGE(""https://docs.google.com/spreadsheets/d/1KuJipsGd1IaAyLNhqUabCsnnVzL27mc7bG4cDVfQr38/edit?gid=0#gid=0"",""3910!Z2"")"),0.0)</f>
        <v>0</v>
      </c>
      <c r="N224" s="183"/>
      <c r="O224" s="181">
        <f t="shared" si="6"/>
        <v>59</v>
      </c>
      <c r="P224" s="182"/>
      <c r="Q224" s="182"/>
      <c r="R224" s="183"/>
      <c r="S224" s="182"/>
      <c r="T224" s="182"/>
      <c r="U224" s="47">
        <f t="shared" si="7"/>
        <v>0</v>
      </c>
      <c r="V224" s="182"/>
      <c r="W224" s="182"/>
      <c r="X224" s="182"/>
      <c r="Y224" s="182"/>
      <c r="Z224" s="133"/>
    </row>
    <row r="225">
      <c r="B225" s="53">
        <v>6803911.0</v>
      </c>
      <c r="C225" s="124" t="s">
        <v>486</v>
      </c>
      <c r="D225" s="176" t="s">
        <v>29</v>
      </c>
      <c r="E225" s="177" t="s">
        <v>487</v>
      </c>
      <c r="F225" s="178">
        <f>IFERROR(__xludf.DUMMYFUNCTION("IMPORTRANGE(""https://docs.google.com/spreadsheets/d/14F0mnOF0WZE--9ZM8IXGlHfTDE7lUvjRM8DMPE4taLg/edit?gid=0#gid=0"",""3911!Z2"")"),8.0)</f>
        <v>8</v>
      </c>
      <c r="G225" s="171">
        <f>IFERROR(__xludf.DUMMYFUNCTION("IMPORTRANGE(""https://docs.google.com/spreadsheets/d/1eurEunDb-ysb1pCzsgqDKgU1J0MkfrtwxNJwjUHJpLs/edit?gid=0#gid=0"",""3911!Z2"")"),36.0)</f>
        <v>36</v>
      </c>
      <c r="H225" s="171">
        <f>IFERROR(__xludf.DUMMYFUNCTION("IMPORTRANGE(""https://docs.google.com/spreadsheets/d/1EyFqCuGrfVTzjObzA4vrOWW51hVKTv4iVSlj-F2BIfc/edit?gid=0#gid=0"",""3911!Z2"")"),0.0)</f>
        <v>0</v>
      </c>
      <c r="I225" s="171">
        <f>IFERROR(__xludf.DUMMYFUNCTION("IMPORTRANGE(""https://docs.google.com/spreadsheets/d/1tiL0lGJs8l1FznIlE4Ca1ARpslvtK6kGgBYfzeZoNNw/edit?gid=0#gid=0"",""3911!Z2"")"),0.0)</f>
        <v>0</v>
      </c>
      <c r="J225" s="171">
        <f>IFERROR(__xludf.DUMMYFUNCTION("IMPORTRANGE(""https://docs.google.com/spreadsheets/d/1LLtayRj359azArOKYATkFa1u0XDMGp1Jn4WCUlleQj0/edit?gid=0#gid=0"",""3911!Z2"")"),0.0)</f>
        <v>0</v>
      </c>
      <c r="K225" s="135">
        <f>IFERROR(__xludf.DUMMYFUNCTION("IMPORTRANGE(""https://docs.google.com/spreadsheets/d/1zNDSwhgqj8l6v-2sNXfA_Ku8lX_jir7p8Wt-H2-qw80/edit?gid=0#gid=0"",""3911!Z2"")"),0.0)</f>
        <v>0</v>
      </c>
      <c r="L225" s="135">
        <f>IFERROR(__xludf.DUMMYFUNCTION("IMPORTRANGE(""https://docs.google.com/spreadsheets/d/1mIt5QobWVrxUcfcSVFOfokW2W_VnZZbOpF8I70OE6L8/edit?gid=0#gid=0"",""3911!Z2"")"),0.0)</f>
        <v>0</v>
      </c>
      <c r="M225" s="135">
        <f>IFERROR(__xludf.DUMMYFUNCTION("IMPORTRANGE(""https://docs.google.com/spreadsheets/d/1KuJipsGd1IaAyLNhqUabCsnnVzL27mc7bG4cDVfQr38/edit?gid=0#gid=0"",""3911!Z2"")"),0.0)</f>
        <v>0</v>
      </c>
      <c r="N225" s="183"/>
      <c r="O225" s="181">
        <f t="shared" si="6"/>
        <v>64</v>
      </c>
      <c r="P225" s="59" t="s">
        <v>47</v>
      </c>
      <c r="Q225" s="182"/>
      <c r="R225" s="183"/>
      <c r="S225" s="45">
        <v>20.0</v>
      </c>
      <c r="T225" s="182"/>
      <c r="U225" s="47">
        <f t="shared" si="7"/>
        <v>0</v>
      </c>
      <c r="V225" s="182"/>
      <c r="W225" s="182"/>
      <c r="X225" s="182"/>
      <c r="Y225" s="182"/>
      <c r="Z225" s="133"/>
    </row>
    <row r="226">
      <c r="B226" s="53">
        <v>6803912.0</v>
      </c>
      <c r="C226" s="124" t="s">
        <v>488</v>
      </c>
      <c r="D226" s="176" t="s">
        <v>29</v>
      </c>
      <c r="E226" s="177" t="s">
        <v>489</v>
      </c>
      <c r="F226" s="178">
        <f>IFERROR(__xludf.DUMMYFUNCTION("IMPORTRANGE(""https://docs.google.com/spreadsheets/d/14F0mnOF0WZE--9ZM8IXGlHfTDE7lUvjRM8DMPE4taLg/edit?gid=0#gid=0"",""3912!Z2"")"),8.0)</f>
        <v>8</v>
      </c>
      <c r="G226" s="171">
        <f>IFERROR(__xludf.DUMMYFUNCTION("IMPORTRANGE(""https://docs.google.com/spreadsheets/d/1eurEunDb-ysb1pCzsgqDKgU1J0MkfrtwxNJwjUHJpLs/edit?gid=0#gid=0"",""3912!Z2"")"),32.0)</f>
        <v>32</v>
      </c>
      <c r="H226" s="171">
        <f>IFERROR(__xludf.DUMMYFUNCTION("IMPORTRANGE(""https://docs.google.com/spreadsheets/d/1EyFqCuGrfVTzjObzA4vrOWW51hVKTv4iVSlj-F2BIfc/edit?gid=0#gid=0"",""3912!Z2"")"),38.0)</f>
        <v>38</v>
      </c>
      <c r="I226" s="171">
        <f>IFERROR(__xludf.DUMMYFUNCTION("IMPORTRANGE(""https://docs.google.com/spreadsheets/d/1tiL0lGJs8l1FznIlE4Ca1ARpslvtK6kGgBYfzeZoNNw/edit?gid=0#gid=0"",""3912!Z2"")"),0.0)</f>
        <v>0</v>
      </c>
      <c r="J226" s="171">
        <f>IFERROR(__xludf.DUMMYFUNCTION("IMPORTRANGE(""https://docs.google.com/spreadsheets/d/1LLtayRj359azArOKYATkFa1u0XDMGp1Jn4WCUlleQj0/edit?gid=0#gid=0"",""3912!Z2"")"),0.0)</f>
        <v>0</v>
      </c>
      <c r="K226" s="135">
        <f>IFERROR(__xludf.DUMMYFUNCTION("IMPORTRANGE(""https://docs.google.com/spreadsheets/d/1zNDSwhgqj8l6v-2sNXfA_Ku8lX_jir7p8Wt-H2-qw80/edit?gid=0#gid=0"",""3912!Z2"")"),0.0)</f>
        <v>0</v>
      </c>
      <c r="L226" s="135">
        <f>IFERROR(__xludf.DUMMYFUNCTION("IMPORTRANGE(""https://docs.google.com/spreadsheets/d/1mIt5QobWVrxUcfcSVFOfokW2W_VnZZbOpF8I70OE6L8/edit?gid=0#gid=0"",""3912!Z2"")"),8.0)</f>
        <v>8</v>
      </c>
      <c r="M226" s="135">
        <f>IFERROR(__xludf.DUMMYFUNCTION("IMPORTRANGE(""https://docs.google.com/spreadsheets/d/1KuJipsGd1IaAyLNhqUabCsnnVzL27mc7bG4cDVfQr38/edit?gid=0#gid=0"",""3912!Z2"")"),0.0)</f>
        <v>0</v>
      </c>
      <c r="N226" s="183"/>
      <c r="O226" s="181">
        <f t="shared" si="6"/>
        <v>86</v>
      </c>
      <c r="P226" s="182"/>
      <c r="Q226" s="182"/>
      <c r="R226" s="183"/>
      <c r="S226" s="182"/>
      <c r="T226" s="182"/>
      <c r="U226" s="47">
        <f t="shared" si="7"/>
        <v>0</v>
      </c>
      <c r="V226" s="182"/>
      <c r="W226" s="182"/>
      <c r="X226" s="182"/>
      <c r="Y226" s="182"/>
      <c r="Z226" s="133"/>
    </row>
    <row r="227">
      <c r="B227" s="53">
        <v>6803913.0</v>
      </c>
      <c r="C227" s="124" t="s">
        <v>490</v>
      </c>
      <c r="D227" s="176" t="s">
        <v>29</v>
      </c>
      <c r="E227" s="177" t="s">
        <v>491</v>
      </c>
      <c r="F227" s="178">
        <f>IFERROR(__xludf.DUMMYFUNCTION("IMPORTRANGE(""https://docs.google.com/spreadsheets/d/14F0mnOF0WZE--9ZM8IXGlHfTDE7lUvjRM8DMPE4taLg/edit?gid=0#gid=0"",""3913!Z2"")"),0.0)</f>
        <v>0</v>
      </c>
      <c r="G227" s="171">
        <f>IFERROR(__xludf.DUMMYFUNCTION("IMPORTRANGE(""https://docs.google.com/spreadsheets/d/1eurEunDb-ysb1pCzsgqDKgU1J0MkfrtwxNJwjUHJpLs/edit?gid=0#gid=0"",""3913!Z2"")"),40.0)</f>
        <v>40</v>
      </c>
      <c r="H227" s="171">
        <f>IFERROR(__xludf.DUMMYFUNCTION("IMPORTRANGE(""https://docs.google.com/spreadsheets/d/1EyFqCuGrfVTzjObzA4vrOWW51hVKTv4iVSlj-F2BIfc/edit?gid=0#gid=0"",""3913!Z2"")"),8.0)</f>
        <v>8</v>
      </c>
      <c r="I227" s="171">
        <f>IFERROR(__xludf.DUMMYFUNCTION("IMPORTRANGE(""https://docs.google.com/spreadsheets/d/1tiL0lGJs8l1FznIlE4Ca1ARpslvtK6kGgBYfzeZoNNw/edit?gid=0#gid=0"",""3913!Z2"")"),0.0)</f>
        <v>0</v>
      </c>
      <c r="J227" s="171">
        <f>IFERROR(__xludf.DUMMYFUNCTION("IMPORTRANGE(""https://docs.google.com/spreadsheets/d/1LLtayRj359azArOKYATkFa1u0XDMGp1Jn4WCUlleQj0/edit?gid=0#gid=0"",""3913!Z2"")"),4.0)</f>
        <v>4</v>
      </c>
      <c r="K227" s="135">
        <f>IFERROR(__xludf.DUMMYFUNCTION("IMPORTRANGE(""https://docs.google.com/spreadsheets/d/1zNDSwhgqj8l6v-2sNXfA_Ku8lX_jir7p8Wt-H2-qw80/edit?gid=0#gid=0"",""3913!Z2"")"),0.0)</f>
        <v>0</v>
      </c>
      <c r="L227" s="135">
        <f>IFERROR(__xludf.DUMMYFUNCTION("IMPORTRANGE(""https://docs.google.com/spreadsheets/d/1mIt5QobWVrxUcfcSVFOfokW2W_VnZZbOpF8I70OE6L8/edit?gid=0#gid=0"",""3913!Z2"")"),0.0)</f>
        <v>0</v>
      </c>
      <c r="M227" s="135">
        <f>IFERROR(__xludf.DUMMYFUNCTION("IMPORTRANGE(""https://docs.google.com/spreadsheets/d/1KuJipsGd1IaAyLNhqUabCsnnVzL27mc7bG4cDVfQr38/edit?gid=0#gid=0"",""3913!Z2"")"),1.0)</f>
        <v>1</v>
      </c>
      <c r="N227" s="185"/>
      <c r="O227" s="181">
        <f t="shared" si="6"/>
        <v>73</v>
      </c>
      <c r="P227" s="59" t="s">
        <v>34</v>
      </c>
      <c r="Q227" s="182"/>
      <c r="R227" s="183"/>
      <c r="S227" s="45">
        <v>20.0</v>
      </c>
      <c r="T227" s="182"/>
      <c r="U227" s="47">
        <f t="shared" si="7"/>
        <v>0</v>
      </c>
      <c r="V227" s="182"/>
      <c r="W227" s="182"/>
      <c r="X227" s="182"/>
      <c r="Y227" s="182"/>
      <c r="Z227" s="133"/>
    </row>
    <row r="228">
      <c r="B228" s="53">
        <v>6803914.0</v>
      </c>
      <c r="C228" s="124" t="s">
        <v>492</v>
      </c>
      <c r="D228" s="176" t="s">
        <v>29</v>
      </c>
      <c r="E228" s="177" t="s">
        <v>493</v>
      </c>
      <c r="F228" s="178">
        <f>IFERROR(__xludf.DUMMYFUNCTION("IMPORTRANGE(""https://docs.google.com/spreadsheets/d/14F0mnOF0WZE--9ZM8IXGlHfTDE7lUvjRM8DMPE4taLg/edit?gid=0#gid=0"",""3914!Z2"")"),8.0)</f>
        <v>8</v>
      </c>
      <c r="G228" s="171">
        <f>IFERROR(__xludf.DUMMYFUNCTION("IMPORTRANGE(""https://docs.google.com/spreadsheets/d/1eurEunDb-ysb1pCzsgqDKgU1J0MkfrtwxNJwjUHJpLs/edit?gid=0#gid=0"",""3914!Z2"")"),28.0)</f>
        <v>28</v>
      </c>
      <c r="H228" s="171">
        <f>IFERROR(__xludf.DUMMYFUNCTION("IMPORTRANGE(""https://docs.google.com/spreadsheets/d/1EyFqCuGrfVTzjObzA4vrOWW51hVKTv4iVSlj-F2BIfc/edit?gid=0#gid=0"",""3914!Z2"")"),15.0)</f>
        <v>15</v>
      </c>
      <c r="I228" s="171">
        <f>IFERROR(__xludf.DUMMYFUNCTION("IMPORTRANGE(""https://docs.google.com/spreadsheets/d/1tiL0lGJs8l1FznIlE4Ca1ARpslvtK6kGgBYfzeZoNNw/edit?gid=0#gid=0"",""3914!Z2"")"),0.0)</f>
        <v>0</v>
      </c>
      <c r="J228" s="171">
        <f>IFERROR(__xludf.DUMMYFUNCTION("IMPORTRANGE(""https://docs.google.com/spreadsheets/d/1LLtayRj359azArOKYATkFa1u0XDMGp1Jn4WCUlleQj0/edit?gid=0#gid=0"",""3914!Z2"")"),0.0)</f>
        <v>0</v>
      </c>
      <c r="K228" s="135">
        <f>IFERROR(__xludf.DUMMYFUNCTION("IMPORTRANGE(""https://docs.google.com/spreadsheets/d/1zNDSwhgqj8l6v-2sNXfA_Ku8lX_jir7p8Wt-H2-qw80/edit?gid=0#gid=0"",""3914!Z2"")"),2.0)</f>
        <v>2</v>
      </c>
      <c r="L228" s="135">
        <f>IFERROR(__xludf.DUMMYFUNCTION("IMPORTRANGE(""https://docs.google.com/spreadsheets/d/1mIt5QobWVrxUcfcSVFOfokW2W_VnZZbOpF8I70OE6L8/edit?gid=0#gid=0"",""3914!Z2"")"),0.0)</f>
        <v>0</v>
      </c>
      <c r="M228" s="135">
        <f>IFERROR(__xludf.DUMMYFUNCTION("IMPORTRANGE(""https://docs.google.com/spreadsheets/d/1KuJipsGd1IaAyLNhqUabCsnnVzL27mc7bG4cDVfQr38/edit?gid=0#gid=0"",""3914!Z2"")"),0.0)</f>
        <v>0</v>
      </c>
      <c r="N228" s="183"/>
      <c r="O228" s="181">
        <f t="shared" si="6"/>
        <v>53</v>
      </c>
      <c r="P228" s="182"/>
      <c r="Q228" s="182"/>
      <c r="R228" s="183"/>
      <c r="S228" s="182"/>
      <c r="T228" s="182"/>
      <c r="U228" s="47">
        <f t="shared" si="7"/>
        <v>0</v>
      </c>
      <c r="V228" s="182"/>
      <c r="W228" s="182"/>
      <c r="X228" s="182"/>
      <c r="Y228" s="182"/>
      <c r="Z228" s="133"/>
    </row>
    <row r="229">
      <c r="B229" s="53">
        <v>6803915.0</v>
      </c>
      <c r="C229" s="124" t="s">
        <v>494</v>
      </c>
      <c r="D229" s="176" t="s">
        <v>29</v>
      </c>
      <c r="E229" s="177" t="s">
        <v>495</v>
      </c>
      <c r="F229" s="178">
        <f>IFERROR(__xludf.DUMMYFUNCTION("IMPORTRANGE(""https://docs.google.com/spreadsheets/d/14F0mnOF0WZE--9ZM8IXGlHfTDE7lUvjRM8DMPE4taLg/edit?gid=0#gid=0"",""3915!Z2"")"),0.0)</f>
        <v>0</v>
      </c>
      <c r="G229" s="171">
        <f>IFERROR(__xludf.DUMMYFUNCTION("IMPORTRANGE(""https://docs.google.com/spreadsheets/d/1eurEunDb-ysb1pCzsgqDKgU1J0MkfrtwxNJwjUHJpLs/edit?gid=0#gid=0"",""3915!Z2"")"),32.0)</f>
        <v>32</v>
      </c>
      <c r="H229" s="171">
        <f>IFERROR(__xludf.DUMMYFUNCTION("IMPORTRANGE(""https://docs.google.com/spreadsheets/d/1EyFqCuGrfVTzjObzA4vrOWW51hVKTv4iVSlj-F2BIfc/edit?gid=0#gid=0"",""3915!Z2"")"),7.0)</f>
        <v>7</v>
      </c>
      <c r="I229" s="171">
        <f>IFERROR(__xludf.DUMMYFUNCTION("IMPORTRANGE(""https://docs.google.com/spreadsheets/d/1tiL0lGJs8l1FznIlE4Ca1ARpslvtK6kGgBYfzeZoNNw/edit?gid=0#gid=0"",""3915!Z2"")"),0.0)</f>
        <v>0</v>
      </c>
      <c r="J229" s="171">
        <f>IFERROR(__xludf.DUMMYFUNCTION("IMPORTRANGE(""https://docs.google.com/spreadsheets/d/1LLtayRj359azArOKYATkFa1u0XDMGp1Jn4WCUlleQj0/edit?gid=0#gid=0"",""3915!Z2"")"),0.0)</f>
        <v>0</v>
      </c>
      <c r="K229" s="135">
        <f>IFERROR(__xludf.DUMMYFUNCTION("IMPORTRANGE(""https://docs.google.com/spreadsheets/d/1zNDSwhgqj8l6v-2sNXfA_Ku8lX_jir7p8Wt-H2-qw80/edit?gid=0#gid=0"",""3915!Z2"")"),0.0)</f>
        <v>0</v>
      </c>
      <c r="L229" s="135">
        <f>IFERROR(__xludf.DUMMYFUNCTION("IMPORTRANGE(""https://docs.google.com/spreadsheets/d/1mIt5QobWVrxUcfcSVFOfokW2W_VnZZbOpF8I70OE6L8/edit?gid=0#gid=0"",""3915!Z2"")"),0.0)</f>
        <v>0</v>
      </c>
      <c r="M229" s="135">
        <f>IFERROR(__xludf.DUMMYFUNCTION("IMPORTRANGE(""https://docs.google.com/spreadsheets/d/1KuJipsGd1IaAyLNhqUabCsnnVzL27mc7bG4cDVfQr38/edit?gid=0#gid=0"",""3915!Z2"")"),13.0)</f>
        <v>13</v>
      </c>
      <c r="N229" s="183"/>
      <c r="O229" s="181">
        <f t="shared" si="6"/>
        <v>72</v>
      </c>
      <c r="P229" s="59" t="s">
        <v>47</v>
      </c>
      <c r="Q229" s="182"/>
      <c r="R229" s="183"/>
      <c r="S229" s="45">
        <v>20.0</v>
      </c>
      <c r="T229" s="182"/>
      <c r="U229" s="47">
        <f t="shared" si="7"/>
        <v>0</v>
      </c>
      <c r="V229" s="182"/>
      <c r="W229" s="182"/>
      <c r="X229" s="182"/>
      <c r="Y229" s="182"/>
      <c r="Z229" s="133"/>
    </row>
    <row r="230">
      <c r="B230" s="53">
        <v>6803916.0</v>
      </c>
      <c r="C230" s="124" t="s">
        <v>496</v>
      </c>
      <c r="D230" s="176" t="s">
        <v>29</v>
      </c>
      <c r="E230" s="177" t="s">
        <v>497</v>
      </c>
      <c r="F230" s="178">
        <f>IFERROR(__xludf.DUMMYFUNCTION("IMPORTRANGE(""https://docs.google.com/spreadsheets/d/14F0mnOF0WZE--9ZM8IXGlHfTDE7lUvjRM8DMPE4taLg/edit?gid=0#gid=0"",""3916!Z2"")"),0.0)</f>
        <v>0</v>
      </c>
      <c r="G230" s="171">
        <f>IFERROR(__xludf.DUMMYFUNCTION("IMPORTRANGE(""https://docs.google.com/spreadsheets/d/1eurEunDb-ysb1pCzsgqDKgU1J0MkfrtwxNJwjUHJpLs/edit?gid=0#gid=0"",""3916!Z2"")"),16.0)</f>
        <v>16</v>
      </c>
      <c r="H230" s="171">
        <f>IFERROR(__xludf.DUMMYFUNCTION("IMPORTRANGE(""https://docs.google.com/spreadsheets/d/1EyFqCuGrfVTzjObzA4vrOWW51hVKTv4iVSlj-F2BIfc/edit?gid=0#gid=0"",""3916!Z2"")"),20.0)</f>
        <v>20</v>
      </c>
      <c r="I230" s="171">
        <f>IFERROR(__xludf.DUMMYFUNCTION("IMPORTRANGE(""https://docs.google.com/spreadsheets/d/1tiL0lGJs8l1FznIlE4Ca1ARpslvtK6kGgBYfzeZoNNw/edit?gid=0#gid=0"",""3916!Z2"")"),0.0)</f>
        <v>0</v>
      </c>
      <c r="J230" s="171">
        <f>IFERROR(__xludf.DUMMYFUNCTION("IMPORTRANGE(""https://docs.google.com/spreadsheets/d/1LLtayRj359azArOKYATkFa1u0XDMGp1Jn4WCUlleQj0/edit?gid=0#gid=0"",""3916!Z2"")"),0.0)</f>
        <v>0</v>
      </c>
      <c r="K230" s="135">
        <f>IFERROR(__xludf.DUMMYFUNCTION("IMPORTRANGE(""https://docs.google.com/spreadsheets/d/1zNDSwhgqj8l6v-2sNXfA_Ku8lX_jir7p8Wt-H2-qw80/edit?gid=0#gid=0"",""3916!Z2"")"),0.0)</f>
        <v>0</v>
      </c>
      <c r="L230" s="135">
        <f>IFERROR(__xludf.DUMMYFUNCTION("IMPORTRANGE(""https://docs.google.com/spreadsheets/d/1mIt5QobWVrxUcfcSVFOfokW2W_VnZZbOpF8I70OE6L8/edit?gid=0#gid=0"",""3916!Z2"")"),0.0)</f>
        <v>0</v>
      </c>
      <c r="M230" s="135">
        <f>IFERROR(__xludf.DUMMYFUNCTION("IMPORTRANGE(""https://docs.google.com/spreadsheets/d/1KuJipsGd1IaAyLNhqUabCsnnVzL27mc7bG4cDVfQr38/edit?gid=0#gid=0"",""3916!Z2"")"),0.0)</f>
        <v>0</v>
      </c>
      <c r="N230" s="183"/>
      <c r="O230" s="181">
        <f t="shared" si="6"/>
        <v>56</v>
      </c>
      <c r="P230" s="59" t="s">
        <v>42</v>
      </c>
      <c r="Q230" s="182"/>
      <c r="R230" s="183"/>
      <c r="S230" s="45">
        <v>20.0</v>
      </c>
      <c r="T230" s="182"/>
      <c r="U230" s="47">
        <f t="shared" si="7"/>
        <v>0</v>
      </c>
      <c r="V230" s="182"/>
      <c r="W230" s="182"/>
      <c r="X230" s="182"/>
      <c r="Y230" s="182"/>
      <c r="Z230" s="133"/>
    </row>
    <row r="231">
      <c r="B231" s="53">
        <v>6803917.0</v>
      </c>
      <c r="C231" s="124" t="s">
        <v>498</v>
      </c>
      <c r="D231" s="176" t="s">
        <v>29</v>
      </c>
      <c r="E231" s="177" t="s">
        <v>499</v>
      </c>
      <c r="F231" s="178">
        <f>IFERROR(__xludf.DUMMYFUNCTION("IMPORTRANGE(""https://docs.google.com/spreadsheets/d/14F0mnOF0WZE--9ZM8IXGlHfTDE7lUvjRM8DMPE4taLg/edit?gid=0#gid=0"",""3917!Z2"")"),0.0)</f>
        <v>0</v>
      </c>
      <c r="G231" s="171">
        <f>IFERROR(__xludf.DUMMYFUNCTION("IMPORTRANGE(""https://docs.google.com/spreadsheets/d/1eurEunDb-ysb1pCzsgqDKgU1J0MkfrtwxNJwjUHJpLs/edit?gid=0#gid=0"",""3917!Z2"")"),36.0)</f>
        <v>36</v>
      </c>
      <c r="H231" s="171">
        <f>IFERROR(__xludf.DUMMYFUNCTION("IMPORTRANGE(""https://docs.google.com/spreadsheets/d/1EyFqCuGrfVTzjObzA4vrOWW51hVKTv4iVSlj-F2BIfc/edit?gid=0#gid=0"",""3917!Z2"")"),0.0)</f>
        <v>0</v>
      </c>
      <c r="I231" s="171">
        <f>IFERROR(__xludf.DUMMYFUNCTION("IMPORTRANGE(""https://docs.google.com/spreadsheets/d/1tiL0lGJs8l1FznIlE4Ca1ARpslvtK6kGgBYfzeZoNNw/edit?gid=0#gid=0"",""3917!Z2"")"),0.0)</f>
        <v>0</v>
      </c>
      <c r="J231" s="171">
        <f>IFERROR(__xludf.DUMMYFUNCTION("IMPORTRANGE(""https://docs.google.com/spreadsheets/d/1LLtayRj359azArOKYATkFa1u0XDMGp1Jn4WCUlleQj0/edit?gid=0#gid=0"",""3917!Z2"")"),0.0)</f>
        <v>0</v>
      </c>
      <c r="K231" s="135">
        <f>IFERROR(__xludf.DUMMYFUNCTION("IMPORTRANGE(""https://docs.google.com/spreadsheets/d/1zNDSwhgqj8l6v-2sNXfA_Ku8lX_jir7p8Wt-H2-qw80/edit?gid=0#gid=0"",""3917!Z2"")"),0.0)</f>
        <v>0</v>
      </c>
      <c r="L231" s="135">
        <f>IFERROR(__xludf.DUMMYFUNCTION("IMPORTRANGE(""https://docs.google.com/spreadsheets/d/1mIt5QobWVrxUcfcSVFOfokW2W_VnZZbOpF8I70OE6L8/edit?gid=0#gid=0"",""3917!Z2"")"),0.0)</f>
        <v>0</v>
      </c>
      <c r="M231" s="135">
        <f>IFERROR(__xludf.DUMMYFUNCTION("IMPORTRANGE(""https://docs.google.com/spreadsheets/d/1KuJipsGd1IaAyLNhqUabCsnnVzL27mc7bG4cDVfQr38/edit?gid=0#gid=0"",""3917!Z2"")"),0.0)</f>
        <v>0</v>
      </c>
      <c r="N231" s="183"/>
      <c r="O231" s="181">
        <f t="shared" si="6"/>
        <v>56</v>
      </c>
      <c r="P231" s="44" t="s">
        <v>196</v>
      </c>
      <c r="Q231" s="182"/>
      <c r="R231" s="183"/>
      <c r="S231" s="45">
        <v>20.0</v>
      </c>
      <c r="T231" s="182"/>
      <c r="U231" s="47">
        <f t="shared" si="7"/>
        <v>0</v>
      </c>
      <c r="V231" s="182"/>
      <c r="W231" s="182"/>
      <c r="X231" s="182"/>
      <c r="Y231" s="182"/>
      <c r="Z231" s="133"/>
    </row>
    <row r="232">
      <c r="B232" s="53">
        <v>6803918.0</v>
      </c>
      <c r="C232" s="124" t="s">
        <v>500</v>
      </c>
      <c r="D232" s="176" t="s">
        <v>29</v>
      </c>
      <c r="E232" s="177" t="s">
        <v>501</v>
      </c>
      <c r="F232" s="178">
        <f>IFERROR(__xludf.DUMMYFUNCTION("IMPORTRANGE(""https://docs.google.com/spreadsheets/d/14F0mnOF0WZE--9ZM8IXGlHfTDE7lUvjRM8DMPE4taLg/edit?gid=0#gid=0"",""3918!Z2"")"),0.0)</f>
        <v>0</v>
      </c>
      <c r="G232" s="171">
        <f>IFERROR(__xludf.DUMMYFUNCTION("IMPORTRANGE(""https://docs.google.com/spreadsheets/d/1eurEunDb-ysb1pCzsgqDKgU1J0MkfrtwxNJwjUHJpLs/edit?gid=0#gid=0"",""3918!Z2"")"),60.0)</f>
        <v>60</v>
      </c>
      <c r="H232" s="171">
        <f>IFERROR(__xludf.DUMMYFUNCTION("IMPORTRANGE(""https://docs.google.com/spreadsheets/d/1EyFqCuGrfVTzjObzA4vrOWW51hVKTv4iVSlj-F2BIfc/edit?gid=0#gid=0"",""3918!Z2"")"),33.0)</f>
        <v>33</v>
      </c>
      <c r="I232" s="171">
        <f>IFERROR(__xludf.DUMMYFUNCTION("IMPORTRANGE(""https://docs.google.com/spreadsheets/d/1tiL0lGJs8l1FznIlE4Ca1ARpslvtK6kGgBYfzeZoNNw/edit?gid=0#gid=0"",""3918!Z2"")"),0.0)</f>
        <v>0</v>
      </c>
      <c r="J232" s="171">
        <f>IFERROR(__xludf.DUMMYFUNCTION("IMPORTRANGE(""https://docs.google.com/spreadsheets/d/1LLtayRj359azArOKYATkFa1u0XDMGp1Jn4WCUlleQj0/edit?gid=0#gid=0"",""3918!Z2"")"),0.0)</f>
        <v>0</v>
      </c>
      <c r="K232" s="135">
        <f>IFERROR(__xludf.DUMMYFUNCTION("IMPORTRANGE(""https://docs.google.com/spreadsheets/d/1zNDSwhgqj8l6v-2sNXfA_Ku8lX_jir7p8Wt-H2-qw80/edit?gid=0#gid=0"",""3918!Z2"")"),0.0)</f>
        <v>0</v>
      </c>
      <c r="L232" s="135">
        <f>IFERROR(__xludf.DUMMYFUNCTION("IMPORTRANGE(""https://docs.google.com/spreadsheets/d/1mIt5QobWVrxUcfcSVFOfokW2W_VnZZbOpF8I70OE6L8/edit?gid=0#gid=0"",""3918!Z2"")"),0.0)</f>
        <v>0</v>
      </c>
      <c r="M232" s="135">
        <f>IFERROR(__xludf.DUMMYFUNCTION("IMPORTRANGE(""https://docs.google.com/spreadsheets/d/1KuJipsGd1IaAyLNhqUabCsnnVzL27mc7bG4cDVfQr38/edit?gid=0#gid=0"",""3918!Z2"")"),0.0)</f>
        <v>0</v>
      </c>
      <c r="N232" s="183"/>
      <c r="O232" s="181">
        <f t="shared" si="6"/>
        <v>113</v>
      </c>
      <c r="P232" s="44" t="s">
        <v>196</v>
      </c>
      <c r="Q232" s="182"/>
      <c r="R232" s="183"/>
      <c r="S232" s="45">
        <v>20.0</v>
      </c>
      <c r="T232" s="182"/>
      <c r="U232" s="47">
        <f t="shared" si="7"/>
        <v>0</v>
      </c>
      <c r="V232" s="182"/>
      <c r="W232" s="182"/>
      <c r="X232" s="182"/>
      <c r="Y232" s="182"/>
      <c r="Z232" s="133"/>
    </row>
    <row r="233">
      <c r="B233" s="53">
        <v>6803919.0</v>
      </c>
      <c r="C233" s="124" t="s">
        <v>502</v>
      </c>
      <c r="D233" s="176" t="s">
        <v>29</v>
      </c>
      <c r="E233" s="177" t="s">
        <v>503</v>
      </c>
      <c r="F233" s="178">
        <f>IFERROR(__xludf.DUMMYFUNCTION("IMPORTRANGE(""https://docs.google.com/spreadsheets/d/14F0mnOF0WZE--9ZM8IXGlHfTDE7lUvjRM8DMPE4taLg/edit?gid=0#gid=0"",""3919!Z2"")"),0.0)</f>
        <v>0</v>
      </c>
      <c r="G233" s="171">
        <f>IFERROR(__xludf.DUMMYFUNCTION("IMPORTRANGE(""https://docs.google.com/spreadsheets/d/1eurEunDb-ysb1pCzsgqDKgU1J0MkfrtwxNJwjUHJpLs/edit?gid=0#gid=0"",""3919!Z2"")"),40.0)</f>
        <v>40</v>
      </c>
      <c r="H233" s="171">
        <f>IFERROR(__xludf.DUMMYFUNCTION("IMPORTRANGE(""https://docs.google.com/spreadsheets/d/1EyFqCuGrfVTzjObzA4vrOWW51hVKTv4iVSlj-F2BIfc/edit?gid=0#gid=0"",""3919!Z2"")"),27.0)</f>
        <v>27</v>
      </c>
      <c r="I233" s="171">
        <f>IFERROR(__xludf.DUMMYFUNCTION("IMPORTRANGE(""https://docs.google.com/spreadsheets/d/1tiL0lGJs8l1FznIlE4Ca1ARpslvtK6kGgBYfzeZoNNw/edit?gid=0#gid=0"",""3919!Z2"")"),0.0)</f>
        <v>0</v>
      </c>
      <c r="J233" s="171">
        <f>IFERROR(__xludf.DUMMYFUNCTION("IMPORTRANGE(""https://docs.google.com/spreadsheets/d/1LLtayRj359azArOKYATkFa1u0XDMGp1Jn4WCUlleQj0/edit?gid=0#gid=0"",""3919!Z2"")"),0.0)</f>
        <v>0</v>
      </c>
      <c r="K233" s="135">
        <f>IFERROR(__xludf.DUMMYFUNCTION("IMPORTRANGE(""https://docs.google.com/spreadsheets/d/1zNDSwhgqj8l6v-2sNXfA_Ku8lX_jir7p8Wt-H2-qw80/edit?gid=0#gid=0"",""3919!Z2"")"),3.0)</f>
        <v>3</v>
      </c>
      <c r="L233" s="135">
        <f>IFERROR(__xludf.DUMMYFUNCTION("IMPORTRANGE(""https://docs.google.com/spreadsheets/d/1mIt5QobWVrxUcfcSVFOfokW2W_VnZZbOpF8I70OE6L8/edit?gid=0#gid=0"",""3919!Z2"")"),0.0)</f>
        <v>0</v>
      </c>
      <c r="M233" s="135">
        <f>IFERROR(__xludf.DUMMYFUNCTION("IMPORTRANGE(""https://docs.google.com/spreadsheets/d/1KuJipsGd1IaAyLNhqUabCsnnVzL27mc7bG4cDVfQr38/edit?gid=0#gid=0"",""3919!Z2"")"),1.0)</f>
        <v>1</v>
      </c>
      <c r="N233" s="183"/>
      <c r="O233" s="181">
        <f t="shared" si="6"/>
        <v>71</v>
      </c>
      <c r="P233" s="182"/>
      <c r="Q233" s="182"/>
      <c r="R233" s="183"/>
      <c r="S233" s="182"/>
      <c r="T233" s="182"/>
      <c r="U233" s="47">
        <f t="shared" si="7"/>
        <v>0</v>
      </c>
      <c r="V233" s="182"/>
      <c r="W233" s="182"/>
      <c r="X233" s="182"/>
      <c r="Y233" s="182"/>
      <c r="Z233" s="133"/>
    </row>
    <row r="234">
      <c r="B234" s="53">
        <v>6803920.0</v>
      </c>
      <c r="C234" s="124" t="s">
        <v>504</v>
      </c>
      <c r="D234" s="176" t="s">
        <v>29</v>
      </c>
      <c r="E234" s="177" t="s">
        <v>505</v>
      </c>
      <c r="F234" s="178">
        <f>IFERROR(__xludf.DUMMYFUNCTION("IMPORTRANGE(""https://docs.google.com/spreadsheets/d/14F0mnOF0WZE--9ZM8IXGlHfTDE7lUvjRM8DMPE4taLg/edit?gid=0#gid=0"",""3920!Z2"")"),0.0)</f>
        <v>0</v>
      </c>
      <c r="G234" s="171">
        <f>IFERROR(__xludf.DUMMYFUNCTION("IMPORTRANGE(""https://docs.google.com/spreadsheets/d/1eurEunDb-ysb1pCzsgqDKgU1J0MkfrtwxNJwjUHJpLs/edit?gid=0#gid=0"",""3920!Z2"")"),24.0)</f>
        <v>24</v>
      </c>
      <c r="H234" s="171">
        <f>IFERROR(__xludf.DUMMYFUNCTION("IMPORTRANGE(""https://docs.google.com/spreadsheets/d/1EyFqCuGrfVTzjObzA4vrOWW51hVKTv4iVSlj-F2BIfc/edit?gid=0#gid=0"",""3920!Z2"")"),27.0)</f>
        <v>27</v>
      </c>
      <c r="I234" s="171">
        <f>IFERROR(__xludf.DUMMYFUNCTION("IMPORTRANGE(""https://docs.google.com/spreadsheets/d/1tiL0lGJs8l1FznIlE4Ca1ARpslvtK6kGgBYfzeZoNNw/edit?gid=0#gid=0"",""3920!Z2"")"),0.0)</f>
        <v>0</v>
      </c>
      <c r="J234" s="171">
        <f>IFERROR(__xludf.DUMMYFUNCTION("IMPORTRANGE(""https://docs.google.com/spreadsheets/d/1LLtayRj359azArOKYATkFa1u0XDMGp1Jn4WCUlleQj0/edit?gid=0#gid=0"",""3920!Z2"")"),0.0)</f>
        <v>0</v>
      </c>
      <c r="K234" s="135">
        <f>IFERROR(__xludf.DUMMYFUNCTION("IMPORTRANGE(""https://docs.google.com/spreadsheets/d/1zNDSwhgqj8l6v-2sNXfA_Ku8lX_jir7p8Wt-H2-qw80/edit?gid=0#gid=0"",""3920!Z2"")"),0.0)</f>
        <v>0</v>
      </c>
      <c r="L234" s="135">
        <f>IFERROR(__xludf.DUMMYFUNCTION("IMPORTRANGE(""https://docs.google.com/spreadsheets/d/1mIt5QobWVrxUcfcSVFOfokW2W_VnZZbOpF8I70OE6L8/edit?gid=0#gid=0"",""3920!Z2"")"),8.0)</f>
        <v>8</v>
      </c>
      <c r="M234" s="135">
        <f>IFERROR(__xludf.DUMMYFUNCTION("IMPORTRANGE(""https://docs.google.com/spreadsheets/d/1KuJipsGd1IaAyLNhqUabCsnnVzL27mc7bG4cDVfQr38/edit?gid=0#gid=0"",""3920!Z2"")"),0.0)</f>
        <v>0</v>
      </c>
      <c r="N234" s="183"/>
      <c r="O234" s="181">
        <f t="shared" si="6"/>
        <v>59</v>
      </c>
      <c r="P234" s="182"/>
      <c r="Q234" s="182"/>
      <c r="R234" s="183"/>
      <c r="S234" s="182"/>
      <c r="T234" s="182"/>
      <c r="U234" s="47">
        <f t="shared" si="7"/>
        <v>0</v>
      </c>
      <c r="V234" s="182"/>
      <c r="W234" s="182"/>
      <c r="X234" s="182"/>
      <c r="Y234" s="182"/>
      <c r="Z234" s="133"/>
    </row>
    <row r="235">
      <c r="B235" s="53">
        <v>6803921.0</v>
      </c>
      <c r="C235" s="124" t="s">
        <v>506</v>
      </c>
      <c r="D235" s="176" t="s">
        <v>29</v>
      </c>
      <c r="E235" s="177" t="s">
        <v>507</v>
      </c>
      <c r="F235" s="178">
        <f>IFERROR(__xludf.DUMMYFUNCTION("IMPORTRANGE(""https://docs.google.com/spreadsheets/d/14F0mnOF0WZE--9ZM8IXGlHfTDE7lUvjRM8DMPE4taLg/edit?gid=0#gid=0"",""3921!Z2"")"),8.0)</f>
        <v>8</v>
      </c>
      <c r="G235" s="171">
        <f>IFERROR(__xludf.DUMMYFUNCTION("IMPORTRANGE(""https://docs.google.com/spreadsheets/d/1eurEunDb-ysb1pCzsgqDKgU1J0MkfrtwxNJwjUHJpLs/edit?gid=0#gid=0"",""3921!Z2"")"),36.0)</f>
        <v>36</v>
      </c>
      <c r="H235" s="171">
        <f>IFERROR(__xludf.DUMMYFUNCTION("IMPORTRANGE(""https://docs.google.com/spreadsheets/d/1EyFqCuGrfVTzjObzA4vrOWW51hVKTv4iVSlj-F2BIfc/edit?gid=0#gid=0"",""3921!Z2"")"),48.0)</f>
        <v>48</v>
      </c>
      <c r="I235" s="171">
        <f>IFERROR(__xludf.DUMMYFUNCTION("IMPORTRANGE(""https://docs.google.com/spreadsheets/d/1tiL0lGJs8l1FznIlE4Ca1ARpslvtK6kGgBYfzeZoNNw/edit?gid=0#gid=0"",""3921!Z2"")"),0.0)</f>
        <v>0</v>
      </c>
      <c r="J235" s="171">
        <f>IFERROR(__xludf.DUMMYFUNCTION("IMPORTRANGE(""https://docs.google.com/spreadsheets/d/1LLtayRj359azArOKYATkFa1u0XDMGp1Jn4WCUlleQj0/edit?gid=0#gid=0"",""3921!Z2"")"),0.0)</f>
        <v>0</v>
      </c>
      <c r="K235" s="135">
        <f>IFERROR(__xludf.DUMMYFUNCTION("IMPORTRANGE(""https://docs.google.com/spreadsheets/d/1zNDSwhgqj8l6v-2sNXfA_Ku8lX_jir7p8Wt-H2-qw80/edit?gid=0#gid=0"",""3921!Z2"")"),4.0)</f>
        <v>4</v>
      </c>
      <c r="L235" s="135">
        <f>IFERROR(__xludf.DUMMYFUNCTION("IMPORTRANGE(""https://docs.google.com/spreadsheets/d/1mIt5QobWVrxUcfcSVFOfokW2W_VnZZbOpF8I70OE6L8/edit?gid=0#gid=0"",""3921!Z2"")"),0.0)</f>
        <v>0</v>
      </c>
      <c r="M235" s="135">
        <f>IFERROR(__xludf.DUMMYFUNCTION("IMPORTRANGE(""https://docs.google.com/spreadsheets/d/1KuJipsGd1IaAyLNhqUabCsnnVzL27mc7bG4cDVfQr38/edit?gid=0#gid=0"",""3921!Z2"")"),0.0)</f>
        <v>0</v>
      </c>
      <c r="N235" s="183"/>
      <c r="O235" s="181">
        <f t="shared" si="6"/>
        <v>96</v>
      </c>
      <c r="P235" s="182"/>
      <c r="Q235" s="182"/>
      <c r="R235" s="183"/>
      <c r="S235" s="182"/>
      <c r="T235" s="182"/>
      <c r="U235" s="47">
        <f t="shared" si="7"/>
        <v>0</v>
      </c>
      <c r="V235" s="182"/>
      <c r="W235" s="182"/>
      <c r="X235" s="182"/>
      <c r="Y235" s="182"/>
      <c r="Z235" s="133"/>
    </row>
    <row r="236">
      <c r="B236" s="53">
        <v>6803922.0</v>
      </c>
      <c r="C236" s="124" t="s">
        <v>508</v>
      </c>
      <c r="D236" s="176" t="s">
        <v>29</v>
      </c>
      <c r="E236" s="177" t="s">
        <v>509</v>
      </c>
      <c r="F236" s="178">
        <f>IFERROR(__xludf.DUMMYFUNCTION("IMPORTRANGE(""https://docs.google.com/spreadsheets/d/14F0mnOF0WZE--9ZM8IXGlHfTDE7lUvjRM8DMPE4taLg/edit?gid=0#gid=0"",""3922!Z2"")"),8.0)</f>
        <v>8</v>
      </c>
      <c r="G236" s="171">
        <f>IFERROR(__xludf.DUMMYFUNCTION("IMPORTRANGE(""https://docs.google.com/spreadsheets/d/1eurEunDb-ysb1pCzsgqDKgU1J0MkfrtwxNJwjUHJpLs/edit?gid=0#gid=0"",""3922!Z2"")"),21.0)</f>
        <v>21</v>
      </c>
      <c r="H236" s="171">
        <f>IFERROR(__xludf.DUMMYFUNCTION("IMPORTRANGE(""https://docs.google.com/spreadsheets/d/1EyFqCuGrfVTzjObzA4vrOWW51hVKTv4iVSlj-F2BIfc/edit?gid=0#gid=0"",""3922!Z2"")"),27.0)</f>
        <v>27</v>
      </c>
      <c r="I236" s="171">
        <f>IFERROR(__xludf.DUMMYFUNCTION("IMPORTRANGE(""https://docs.google.com/spreadsheets/d/1tiL0lGJs8l1FznIlE4Ca1ARpslvtK6kGgBYfzeZoNNw/edit?gid=0#gid=0"",""3922!Z2"")"),0.0)</f>
        <v>0</v>
      </c>
      <c r="J236" s="171">
        <f>IFERROR(__xludf.DUMMYFUNCTION("IMPORTRANGE(""https://docs.google.com/spreadsheets/d/1LLtayRj359azArOKYATkFa1u0XDMGp1Jn4WCUlleQj0/edit?gid=0#gid=0"",""3922!Z2"")"),4.0)</f>
        <v>4</v>
      </c>
      <c r="K236" s="135">
        <f>IFERROR(__xludf.DUMMYFUNCTION("IMPORTRANGE(""https://docs.google.com/spreadsheets/d/1zNDSwhgqj8l6v-2sNXfA_Ku8lX_jir7p8Wt-H2-qw80/edit?gid=0#gid=0"",""3922!Z2"")"),0.0)</f>
        <v>0</v>
      </c>
      <c r="L236" s="135">
        <f>IFERROR(__xludf.DUMMYFUNCTION("IMPORTRANGE(""https://docs.google.com/spreadsheets/d/1mIt5QobWVrxUcfcSVFOfokW2W_VnZZbOpF8I70OE6L8/edit?gid=0#gid=0"",""3922!Z2"")"),0.0)</f>
        <v>0</v>
      </c>
      <c r="M236" s="135">
        <f>IFERROR(__xludf.DUMMYFUNCTION("IMPORTRANGE(""https://docs.google.com/spreadsheets/d/1KuJipsGd1IaAyLNhqUabCsnnVzL27mc7bG4cDVfQr38/edit?gid=0#gid=0"",""3922!Z2"")"),0.0)</f>
        <v>0</v>
      </c>
      <c r="N236" s="183"/>
      <c r="O236" s="181">
        <f t="shared" si="6"/>
        <v>60</v>
      </c>
      <c r="P236" s="182"/>
      <c r="Q236" s="182"/>
      <c r="R236" s="183"/>
      <c r="S236" s="182"/>
      <c r="T236" s="182"/>
      <c r="U236" s="47">
        <f t="shared" si="7"/>
        <v>0</v>
      </c>
      <c r="V236" s="182"/>
      <c r="W236" s="182"/>
      <c r="X236" s="182"/>
      <c r="Y236" s="182"/>
      <c r="Z236" s="133"/>
    </row>
    <row r="237">
      <c r="B237" s="53">
        <v>6803923.0</v>
      </c>
      <c r="C237" s="124" t="s">
        <v>510</v>
      </c>
      <c r="D237" s="176" t="s">
        <v>29</v>
      </c>
      <c r="E237" s="177" t="s">
        <v>511</v>
      </c>
      <c r="F237" s="178">
        <f>IFERROR(__xludf.DUMMYFUNCTION("IMPORTRANGE(""https://docs.google.com/spreadsheets/d/14F0mnOF0WZE--9ZM8IXGlHfTDE7lUvjRM8DMPE4taLg/edit?gid=0#gid=0"",""3923!Z2"")"),0.0)</f>
        <v>0</v>
      </c>
      <c r="G237" s="171">
        <f>IFERROR(__xludf.DUMMYFUNCTION("IMPORTRANGE(""https://docs.google.com/spreadsheets/d/1eurEunDb-ysb1pCzsgqDKgU1J0MkfrtwxNJwjUHJpLs/edit?gid=0#gid=0"",""3923!Z2"")"),28.0)</f>
        <v>28</v>
      </c>
      <c r="H237" s="171">
        <f>IFERROR(__xludf.DUMMYFUNCTION("IMPORTRANGE(""https://docs.google.com/spreadsheets/d/1EyFqCuGrfVTzjObzA4vrOWW51hVKTv4iVSlj-F2BIfc/edit?gid=0#gid=0"",""3923!Z2"")"),25.0)</f>
        <v>25</v>
      </c>
      <c r="I237" s="171">
        <f>IFERROR(__xludf.DUMMYFUNCTION("IMPORTRANGE(""https://docs.google.com/spreadsheets/d/1tiL0lGJs8l1FznIlE4Ca1ARpslvtK6kGgBYfzeZoNNw/edit?gid=0#gid=0"",""3923!Z2"")"),0.0)</f>
        <v>0</v>
      </c>
      <c r="J237" s="171">
        <f>IFERROR(__xludf.DUMMYFUNCTION("IMPORTRANGE(""https://docs.google.com/spreadsheets/d/1LLtayRj359azArOKYATkFa1u0XDMGp1Jn4WCUlleQj0/edit?gid=0#gid=0"",""3923!Z2"")"),0.0)</f>
        <v>0</v>
      </c>
      <c r="K237" s="135">
        <f>IFERROR(__xludf.DUMMYFUNCTION("IMPORTRANGE(""https://docs.google.com/spreadsheets/d/1zNDSwhgqj8l6v-2sNXfA_Ku8lX_jir7p8Wt-H2-qw80/edit?gid=0#gid=0"",""3923!Z2"")"),0.0)</f>
        <v>0</v>
      </c>
      <c r="L237" s="135">
        <f>IFERROR(__xludf.DUMMYFUNCTION("IMPORTRANGE(""https://docs.google.com/spreadsheets/d/1mIt5QobWVrxUcfcSVFOfokW2W_VnZZbOpF8I70OE6L8/edit?gid=0#gid=0"",""3923!Z2"")"),0.0)</f>
        <v>0</v>
      </c>
      <c r="M237" s="135">
        <f>IFERROR(__xludf.DUMMYFUNCTION("IMPORTRANGE(""https://docs.google.com/spreadsheets/d/1KuJipsGd1IaAyLNhqUabCsnnVzL27mc7bG4cDVfQr38/edit?gid=0#gid=0"",""3923!Z2"")"),0.0)</f>
        <v>0</v>
      </c>
      <c r="N237" s="183"/>
      <c r="O237" s="181">
        <f t="shared" si="6"/>
        <v>53</v>
      </c>
      <c r="P237" s="182"/>
      <c r="Q237" s="182"/>
      <c r="R237" s="183"/>
      <c r="S237" s="182"/>
      <c r="T237" s="182"/>
      <c r="U237" s="47">
        <f t="shared" si="7"/>
        <v>0</v>
      </c>
      <c r="V237" s="182"/>
      <c r="W237" s="182"/>
      <c r="X237" s="182"/>
      <c r="Y237" s="182"/>
      <c r="Z237" s="133"/>
    </row>
    <row r="238">
      <c r="B238" s="53">
        <v>6803924.0</v>
      </c>
      <c r="C238" s="124" t="s">
        <v>512</v>
      </c>
      <c r="D238" s="176" t="s">
        <v>29</v>
      </c>
      <c r="E238" s="177" t="s">
        <v>513</v>
      </c>
      <c r="F238" s="178">
        <f>IFERROR(__xludf.DUMMYFUNCTION("IMPORTRANGE(""https://docs.google.com/spreadsheets/d/14F0mnOF0WZE--9ZM8IXGlHfTDE7lUvjRM8DMPE4taLg/edit?gid=0#gid=0"",""3924!Z2"")"),0.0)</f>
        <v>0</v>
      </c>
      <c r="G238" s="171">
        <f>IFERROR(__xludf.DUMMYFUNCTION("IMPORTRANGE(""https://docs.google.com/spreadsheets/d/1eurEunDb-ysb1pCzsgqDKgU1J0MkfrtwxNJwjUHJpLs/edit?gid=0#gid=0"",""3924!Z2"")"),40.0)</f>
        <v>40</v>
      </c>
      <c r="H238" s="171">
        <f>IFERROR(__xludf.DUMMYFUNCTION("IMPORTRANGE(""https://docs.google.com/spreadsheets/d/1EyFqCuGrfVTzjObzA4vrOWW51hVKTv4iVSlj-F2BIfc/edit?gid=0#gid=0"",""3924!Z2"")"),7.0)</f>
        <v>7</v>
      </c>
      <c r="I238" s="171">
        <f>IFERROR(__xludf.DUMMYFUNCTION("IMPORTRANGE(""https://docs.google.com/spreadsheets/d/1tiL0lGJs8l1FznIlE4Ca1ARpslvtK6kGgBYfzeZoNNw/edit?gid=0#gid=0"",""3924!Z2"")"),0.0)</f>
        <v>0</v>
      </c>
      <c r="J238" s="171">
        <f>IFERROR(__xludf.DUMMYFUNCTION("IMPORTRANGE(""https://docs.google.com/spreadsheets/d/1LLtayRj359azArOKYATkFa1u0XDMGp1Jn4WCUlleQj0/edit?gid=0#gid=0"",""3924!Z2"")"),0.0)</f>
        <v>0</v>
      </c>
      <c r="K238" s="135">
        <f>IFERROR(__xludf.DUMMYFUNCTION("IMPORTRANGE(""https://docs.google.com/spreadsheets/d/1zNDSwhgqj8l6v-2sNXfA_Ku8lX_jir7p8Wt-H2-qw80/edit?gid=0#gid=0"",""3924!Z2"")"),12.0)</f>
        <v>12</v>
      </c>
      <c r="L238" s="135">
        <f>IFERROR(__xludf.DUMMYFUNCTION("IMPORTRANGE(""https://docs.google.com/spreadsheets/d/1mIt5QobWVrxUcfcSVFOfokW2W_VnZZbOpF8I70OE6L8/edit?gid=0#gid=0"",""3924!Z2"")"),0.0)</f>
        <v>0</v>
      </c>
      <c r="M238" s="135">
        <f>IFERROR(__xludf.DUMMYFUNCTION("IMPORTRANGE(""https://docs.google.com/spreadsheets/d/1KuJipsGd1IaAyLNhqUabCsnnVzL27mc7bG4cDVfQr38/edit?gid=0#gid=0"",""3924!Z2"")"),0.0)</f>
        <v>0</v>
      </c>
      <c r="N238" s="183"/>
      <c r="O238" s="181">
        <f t="shared" si="6"/>
        <v>59</v>
      </c>
      <c r="P238" s="182"/>
      <c r="Q238" s="182"/>
      <c r="R238" s="183"/>
      <c r="S238" s="182"/>
      <c r="T238" s="182"/>
      <c r="U238" s="47">
        <f t="shared" si="7"/>
        <v>0</v>
      </c>
      <c r="V238" s="182"/>
      <c r="W238" s="182"/>
      <c r="X238" s="182"/>
      <c r="Y238" s="182"/>
      <c r="Z238" s="133"/>
    </row>
    <row r="239">
      <c r="B239" s="53">
        <v>6803925.0</v>
      </c>
      <c r="C239" s="124" t="s">
        <v>514</v>
      </c>
      <c r="D239" s="176" t="s">
        <v>29</v>
      </c>
      <c r="E239" s="177" t="s">
        <v>515</v>
      </c>
      <c r="F239" s="178">
        <f>IFERROR(__xludf.DUMMYFUNCTION("IMPORTRANGE(""https://docs.google.com/spreadsheets/d/14F0mnOF0WZE--9ZM8IXGlHfTDE7lUvjRM8DMPE4taLg/edit?gid=0#gid=0"",""3925!Z2"")"),0.0)</f>
        <v>0</v>
      </c>
      <c r="G239" s="171">
        <f>IFERROR(__xludf.DUMMYFUNCTION("IMPORTRANGE(""https://docs.google.com/spreadsheets/d/1eurEunDb-ysb1pCzsgqDKgU1J0MkfrtwxNJwjUHJpLs/edit?gid=0#gid=0"",""3925!Z2"")"),21.0)</f>
        <v>21</v>
      </c>
      <c r="H239" s="171">
        <f>IFERROR(__xludf.DUMMYFUNCTION("IMPORTRANGE(""https://docs.google.com/spreadsheets/d/1EyFqCuGrfVTzjObzA4vrOWW51hVKTv4iVSlj-F2BIfc/edit?gid=0#gid=0"",""3925!Z2"")"),39.0)</f>
        <v>39</v>
      </c>
      <c r="I239" s="171">
        <f>IFERROR(__xludf.DUMMYFUNCTION("IMPORTRANGE(""https://docs.google.com/spreadsheets/d/1tiL0lGJs8l1FznIlE4Ca1ARpslvtK6kGgBYfzeZoNNw/edit?gid=0#gid=0"",""3925!Z2"")"),0.0)</f>
        <v>0</v>
      </c>
      <c r="J239" s="171">
        <f>IFERROR(__xludf.DUMMYFUNCTION("IMPORTRANGE(""https://docs.google.com/spreadsheets/d/1LLtayRj359azArOKYATkFa1u0XDMGp1Jn4WCUlleQj0/edit?gid=0#gid=0"",""3925!Z2"")"),0.0)</f>
        <v>0</v>
      </c>
      <c r="K239" s="135">
        <f>IFERROR(__xludf.DUMMYFUNCTION("IMPORTRANGE(""https://docs.google.com/spreadsheets/d/1zNDSwhgqj8l6v-2sNXfA_Ku8lX_jir7p8Wt-H2-qw80/edit?gid=0#gid=0"",""3925!Z2"")"),4.0)</f>
        <v>4</v>
      </c>
      <c r="L239" s="135">
        <f>IFERROR(__xludf.DUMMYFUNCTION("IMPORTRANGE(""https://docs.google.com/spreadsheets/d/1mIt5QobWVrxUcfcSVFOfokW2W_VnZZbOpF8I70OE6L8/edit?gid=0#gid=0"",""3925!Z2"")"),0.0)</f>
        <v>0</v>
      </c>
      <c r="M239" s="135">
        <f>IFERROR(__xludf.DUMMYFUNCTION("IMPORTRANGE(""https://docs.google.com/spreadsheets/d/1KuJipsGd1IaAyLNhqUabCsnnVzL27mc7bG4cDVfQr38/edit?gid=0#gid=0"",""3925!Z2"")"),0.0)</f>
        <v>0</v>
      </c>
      <c r="N239" s="183"/>
      <c r="O239" s="181">
        <f t="shared" si="6"/>
        <v>64</v>
      </c>
      <c r="P239" s="182"/>
      <c r="Q239" s="182"/>
      <c r="R239" s="183"/>
      <c r="S239" s="182"/>
      <c r="T239" s="182"/>
      <c r="U239" s="47">
        <f t="shared" si="7"/>
        <v>0</v>
      </c>
      <c r="V239" s="182"/>
      <c r="W239" s="182"/>
      <c r="X239" s="182"/>
      <c r="Y239" s="182"/>
      <c r="Z239" s="133"/>
    </row>
    <row r="240">
      <c r="B240" s="53">
        <v>6803926.0</v>
      </c>
      <c r="C240" s="124" t="s">
        <v>516</v>
      </c>
      <c r="D240" s="176" t="s">
        <v>29</v>
      </c>
      <c r="E240" s="177" t="s">
        <v>517</v>
      </c>
      <c r="F240" s="178">
        <f>IFERROR(__xludf.DUMMYFUNCTION("IMPORTRANGE(""https://docs.google.com/spreadsheets/d/14F0mnOF0WZE--9ZM8IXGlHfTDE7lUvjRM8DMPE4taLg/edit?gid=0#gid=0"",""3926!Z2"")"),0.0)</f>
        <v>0</v>
      </c>
      <c r="G240" s="171">
        <f>IFERROR(__xludf.DUMMYFUNCTION("IMPORTRANGE(""https://docs.google.com/spreadsheets/d/1eurEunDb-ysb1pCzsgqDKgU1J0MkfrtwxNJwjUHJpLs/edit?gid=0#gid=0"",""3926!Z2"")"),28.0)</f>
        <v>28</v>
      </c>
      <c r="H240" s="171">
        <f>IFERROR(__xludf.DUMMYFUNCTION("IMPORTRANGE(""https://docs.google.com/spreadsheets/d/1EyFqCuGrfVTzjObzA4vrOWW51hVKTv4iVSlj-F2BIfc/edit?gid=0#gid=0"",""3926!Z2"")"),33.0)</f>
        <v>33</v>
      </c>
      <c r="I240" s="171">
        <f>IFERROR(__xludf.DUMMYFUNCTION("IMPORTRANGE(""https://docs.google.com/spreadsheets/d/1tiL0lGJs8l1FznIlE4Ca1ARpslvtK6kGgBYfzeZoNNw/edit?gid=0#gid=0"",""3926!Z2"")"),0.0)</f>
        <v>0</v>
      </c>
      <c r="J240" s="171">
        <f>IFERROR(__xludf.DUMMYFUNCTION("IMPORTRANGE(""https://docs.google.com/spreadsheets/d/1LLtayRj359azArOKYATkFa1u0XDMGp1Jn4WCUlleQj0/edit?gid=0#gid=0"",""3926!Z2"")"),8.0)</f>
        <v>8</v>
      </c>
      <c r="K240" s="135">
        <f>IFERROR(__xludf.DUMMYFUNCTION("IMPORTRANGE(""https://docs.google.com/spreadsheets/d/1zNDSwhgqj8l6v-2sNXfA_Ku8lX_jir7p8Wt-H2-qw80/edit?gid=0#gid=0"",""3926!Z2"")"),0.0)</f>
        <v>0</v>
      </c>
      <c r="L240" s="135">
        <f>IFERROR(__xludf.DUMMYFUNCTION("IMPORTRANGE(""https://docs.google.com/spreadsheets/d/1mIt5QobWVrxUcfcSVFOfokW2W_VnZZbOpF8I70OE6L8/edit?gid=0#gid=0"",""3926!Z2"")"),0.0)</f>
        <v>0</v>
      </c>
      <c r="M240" s="135">
        <f>IFERROR(__xludf.DUMMYFUNCTION("IMPORTRANGE(""https://docs.google.com/spreadsheets/d/1KuJipsGd1IaAyLNhqUabCsnnVzL27mc7bG4cDVfQr38/edit?gid=0#gid=0"",""3926!Z2"")"),0.0)</f>
        <v>0</v>
      </c>
      <c r="N240" s="183"/>
      <c r="O240" s="181">
        <f t="shared" si="6"/>
        <v>69</v>
      </c>
      <c r="P240" s="182"/>
      <c r="Q240" s="182"/>
      <c r="R240" s="183"/>
      <c r="S240" s="182"/>
      <c r="T240" s="182"/>
      <c r="U240" s="47">
        <f t="shared" si="7"/>
        <v>0</v>
      </c>
      <c r="V240" s="182"/>
      <c r="W240" s="182"/>
      <c r="X240" s="182"/>
      <c r="Y240" s="182"/>
      <c r="Z240" s="133"/>
    </row>
    <row r="241">
      <c r="B241" s="53">
        <v>6803927.0</v>
      </c>
      <c r="C241" s="124" t="s">
        <v>518</v>
      </c>
      <c r="D241" s="176" t="s">
        <v>29</v>
      </c>
      <c r="E241" s="177" t="s">
        <v>519</v>
      </c>
      <c r="F241" s="178">
        <f>IFERROR(__xludf.DUMMYFUNCTION("IMPORTRANGE(""https://docs.google.com/spreadsheets/d/14F0mnOF0WZE--9ZM8IXGlHfTDE7lUvjRM8DMPE4taLg/edit?gid=0#gid=0"",""3927!Z2"")"),8.0)</f>
        <v>8</v>
      </c>
      <c r="G241" s="171">
        <f>IFERROR(__xludf.DUMMYFUNCTION("IMPORTRANGE(""https://docs.google.com/spreadsheets/d/1eurEunDb-ysb1pCzsgqDKgU1J0MkfrtwxNJwjUHJpLs/edit?gid=0#gid=0"",""3927!Z2"")"),28.0)</f>
        <v>28</v>
      </c>
      <c r="H241" s="171">
        <f>IFERROR(__xludf.DUMMYFUNCTION("IMPORTRANGE(""https://docs.google.com/spreadsheets/d/1EyFqCuGrfVTzjObzA4vrOWW51hVKTv4iVSlj-F2BIfc/edit?gid=0#gid=0"",""3927!Z2"")"),23.0)</f>
        <v>23</v>
      </c>
      <c r="I241" s="171">
        <f>IFERROR(__xludf.DUMMYFUNCTION("IMPORTRANGE(""https://docs.google.com/spreadsheets/d/1tiL0lGJs8l1FznIlE4Ca1ARpslvtK6kGgBYfzeZoNNw/edit?gid=0#gid=0"",""3927!Z2"")"),0.0)</f>
        <v>0</v>
      </c>
      <c r="J241" s="171">
        <f>IFERROR(__xludf.DUMMYFUNCTION("IMPORTRANGE(""https://docs.google.com/spreadsheets/d/1LLtayRj359azArOKYATkFa1u0XDMGp1Jn4WCUlleQj0/edit?gid=0#gid=0"",""3927!Z2"")"),0.0)</f>
        <v>0</v>
      </c>
      <c r="K241" s="135">
        <f>IFERROR(__xludf.DUMMYFUNCTION("IMPORTRANGE(""https://docs.google.com/spreadsheets/d/1zNDSwhgqj8l6v-2sNXfA_Ku8lX_jir7p8Wt-H2-qw80/edit?gid=0#gid=0"",""3927!Z2"")"),0.0)</f>
        <v>0</v>
      </c>
      <c r="L241" s="135">
        <f>IFERROR(__xludf.DUMMYFUNCTION("IMPORTRANGE(""https://docs.google.com/spreadsheets/d/1mIt5QobWVrxUcfcSVFOfokW2W_VnZZbOpF8I70OE6L8/edit?gid=0#gid=0"",""3927!Z2"")"),8.0)</f>
        <v>8</v>
      </c>
      <c r="M241" s="135">
        <f>IFERROR(__xludf.DUMMYFUNCTION("IMPORTRANGE(""https://docs.google.com/spreadsheets/d/1KuJipsGd1IaAyLNhqUabCsnnVzL27mc7bG4cDVfQr38/edit?gid=0#gid=0"",""3927!Z2"")"),0.0)</f>
        <v>0</v>
      </c>
      <c r="N241" s="183"/>
      <c r="O241" s="181">
        <f t="shared" si="6"/>
        <v>67</v>
      </c>
      <c r="P241" s="182"/>
      <c r="Q241" s="182"/>
      <c r="R241" s="183"/>
      <c r="S241" s="182"/>
      <c r="T241" s="182"/>
      <c r="U241" s="47">
        <f t="shared" si="7"/>
        <v>0</v>
      </c>
      <c r="V241" s="182"/>
      <c r="W241" s="182"/>
      <c r="X241" s="182"/>
      <c r="Y241" s="182"/>
      <c r="Z241" s="133"/>
    </row>
    <row r="242">
      <c r="B242" s="53">
        <v>6803928.0</v>
      </c>
      <c r="C242" s="124" t="s">
        <v>520</v>
      </c>
      <c r="D242" s="176" t="s">
        <v>29</v>
      </c>
      <c r="E242" s="177" t="s">
        <v>521</v>
      </c>
      <c r="F242" s="178">
        <f>IFERROR(__xludf.DUMMYFUNCTION("IMPORTRANGE(""https://docs.google.com/spreadsheets/d/14F0mnOF0WZE--9ZM8IXGlHfTDE7lUvjRM8DMPE4taLg/edit?gid=0#gid=0"",""3928!Z2"")"),0.0)</f>
        <v>0</v>
      </c>
      <c r="G242" s="171">
        <f>IFERROR(__xludf.DUMMYFUNCTION("IMPORTRANGE(""https://docs.google.com/spreadsheets/d/1eurEunDb-ysb1pCzsgqDKgU1J0MkfrtwxNJwjUHJpLs/edit?gid=0#gid=0"",""3928!Z2"")"),16.0)</f>
        <v>16</v>
      </c>
      <c r="H242" s="171">
        <f>IFERROR(__xludf.DUMMYFUNCTION("IMPORTRANGE(""https://docs.google.com/spreadsheets/d/1EyFqCuGrfVTzjObzA4vrOWW51hVKTv4iVSlj-F2BIfc/edit?gid=0#gid=0"",""3928!Z2"")"),13.0)</f>
        <v>13</v>
      </c>
      <c r="I242" s="171">
        <f>IFERROR(__xludf.DUMMYFUNCTION("IMPORTRANGE(""https://docs.google.com/spreadsheets/d/1tiL0lGJs8l1FznIlE4Ca1ARpslvtK6kGgBYfzeZoNNw/edit?gid=0#gid=0"",""3928!Z2"")"),0.0)</f>
        <v>0</v>
      </c>
      <c r="J242" s="171">
        <f>IFERROR(__xludf.DUMMYFUNCTION("IMPORTRANGE(""https://docs.google.com/spreadsheets/d/1LLtayRj359azArOKYATkFa1u0XDMGp1Jn4WCUlleQj0/edit?gid=0#gid=0"",""3928!Z2"")"),0.0)</f>
        <v>0</v>
      </c>
      <c r="K242" s="135">
        <f>IFERROR(__xludf.DUMMYFUNCTION("IMPORTRANGE(""https://docs.google.com/spreadsheets/d/1zNDSwhgqj8l6v-2sNXfA_Ku8lX_jir7p8Wt-H2-qw80/edit?gid=0#gid=0"",""3928!Z2"")"),8.0)</f>
        <v>8</v>
      </c>
      <c r="L242" s="135">
        <f>IFERROR(__xludf.DUMMYFUNCTION("IMPORTRANGE(""https://docs.google.com/spreadsheets/d/1mIt5QobWVrxUcfcSVFOfokW2W_VnZZbOpF8I70OE6L8/edit?gid=0#gid=0"",""3928!Z2"")"),8.0)</f>
        <v>8</v>
      </c>
      <c r="M242" s="135">
        <f>IFERROR(__xludf.DUMMYFUNCTION("IMPORTRANGE(""https://docs.google.com/spreadsheets/d/1KuJipsGd1IaAyLNhqUabCsnnVzL27mc7bG4cDVfQr38/edit?gid=0#gid=0"",""3928!Z2"")"),5.0)</f>
        <v>5</v>
      </c>
      <c r="N242" s="183"/>
      <c r="O242" s="181">
        <f t="shared" si="6"/>
        <v>50</v>
      </c>
      <c r="P242" s="182"/>
      <c r="Q242" s="182"/>
      <c r="R242" s="183"/>
      <c r="S242" s="182"/>
      <c r="T242" s="182"/>
      <c r="U242" s="47">
        <f t="shared" si="7"/>
        <v>0</v>
      </c>
      <c r="V242" s="182"/>
      <c r="W242" s="182"/>
      <c r="X242" s="182"/>
      <c r="Y242" s="182"/>
      <c r="Z242" s="133"/>
    </row>
    <row r="243">
      <c r="B243" s="53">
        <v>6803929.0</v>
      </c>
      <c r="C243" s="124" t="s">
        <v>522</v>
      </c>
      <c r="D243" s="176" t="s">
        <v>29</v>
      </c>
      <c r="E243" s="177" t="s">
        <v>523</v>
      </c>
      <c r="F243" s="178">
        <f>IFERROR(__xludf.DUMMYFUNCTION("IMPORTRANGE(""https://docs.google.com/spreadsheets/d/14F0mnOF0WZE--9ZM8IXGlHfTDE7lUvjRM8DMPE4taLg/edit?gid=0#gid=0"",""3929!Z2"")"),0.0)</f>
        <v>0</v>
      </c>
      <c r="G243" s="171">
        <f>IFERROR(__xludf.DUMMYFUNCTION("IMPORTRANGE(""https://docs.google.com/spreadsheets/d/1eurEunDb-ysb1pCzsgqDKgU1J0MkfrtwxNJwjUHJpLs/edit?gid=0#gid=0"",""3929!Z2"")"),24.0)</f>
        <v>24</v>
      </c>
      <c r="H243" s="171">
        <f>IFERROR(__xludf.DUMMYFUNCTION("IMPORTRANGE(""https://docs.google.com/spreadsheets/d/1EyFqCuGrfVTzjObzA4vrOWW51hVKTv4iVSlj-F2BIfc/edit?gid=0#gid=0"",""3929!Z2"")"),12.0)</f>
        <v>12</v>
      </c>
      <c r="I243" s="171">
        <f>IFERROR(__xludf.DUMMYFUNCTION("IMPORTRANGE(""https://docs.google.com/spreadsheets/d/1tiL0lGJs8l1FznIlE4Ca1ARpslvtK6kGgBYfzeZoNNw/edit?gid=0#gid=0"",""3929!Z2"")"),0.0)</f>
        <v>0</v>
      </c>
      <c r="J243" s="171">
        <f>IFERROR(__xludf.DUMMYFUNCTION("IMPORTRANGE(""https://docs.google.com/spreadsheets/d/1LLtayRj359azArOKYATkFa1u0XDMGp1Jn4WCUlleQj0/edit?gid=0#gid=0"",""3929!Z2"")"),4.0)</f>
        <v>4</v>
      </c>
      <c r="K243" s="135">
        <f>IFERROR(__xludf.DUMMYFUNCTION("IMPORTRANGE(""https://docs.google.com/spreadsheets/d/1zNDSwhgqj8l6v-2sNXfA_Ku8lX_jir7p8Wt-H2-qw80/edit?gid=0#gid=0"",""3929!Z2"")"),12.0)</f>
        <v>12</v>
      </c>
      <c r="L243" s="135">
        <f>IFERROR(__xludf.DUMMYFUNCTION("IMPORTRANGE(""https://docs.google.com/spreadsheets/d/1mIt5QobWVrxUcfcSVFOfokW2W_VnZZbOpF8I70OE6L8/edit?gid=0#gid=0"",""3929!Z2"")"),12.0)</f>
        <v>12</v>
      </c>
      <c r="M243" s="135">
        <f>IFERROR(__xludf.DUMMYFUNCTION("IMPORTRANGE(""https://docs.google.com/spreadsheets/d/1KuJipsGd1IaAyLNhqUabCsnnVzL27mc7bG4cDVfQr38/edit?gid=0#gid=0"",""3929!Z2"")"),0.0)</f>
        <v>0</v>
      </c>
      <c r="N243" s="183"/>
      <c r="O243" s="181">
        <f t="shared" si="6"/>
        <v>64</v>
      </c>
      <c r="P243" s="182"/>
      <c r="Q243" s="182"/>
      <c r="R243" s="183"/>
      <c r="S243" s="182"/>
      <c r="T243" s="182"/>
      <c r="U243" s="47">
        <f t="shared" si="7"/>
        <v>0</v>
      </c>
      <c r="V243" s="182"/>
      <c r="W243" s="182"/>
      <c r="X243" s="182"/>
      <c r="Y243" s="182"/>
      <c r="Z243" s="133"/>
    </row>
    <row r="244">
      <c r="B244" s="53">
        <v>6803930.0</v>
      </c>
      <c r="C244" s="124" t="s">
        <v>524</v>
      </c>
      <c r="D244" s="176" t="s">
        <v>29</v>
      </c>
      <c r="E244" s="177" t="s">
        <v>525</v>
      </c>
      <c r="F244" s="178">
        <f>IFERROR(__xludf.DUMMYFUNCTION("IMPORTRANGE(""https://docs.google.com/spreadsheets/d/14F0mnOF0WZE--9ZM8IXGlHfTDE7lUvjRM8DMPE4taLg/edit?gid=0#gid=0"",""3930!Z2"")"),0.0)</f>
        <v>0</v>
      </c>
      <c r="G244" s="171">
        <f>IFERROR(__xludf.DUMMYFUNCTION("IMPORTRANGE(""https://docs.google.com/spreadsheets/d/1eurEunDb-ysb1pCzsgqDKgU1J0MkfrtwxNJwjUHJpLs/edit?gid=0#gid=0"",""3930!Z2"")"),39.0)</f>
        <v>39</v>
      </c>
      <c r="H244" s="171">
        <f>IFERROR(__xludf.DUMMYFUNCTION("IMPORTRANGE(""https://docs.google.com/spreadsheets/d/1EyFqCuGrfVTzjObzA4vrOWW51hVKTv4iVSlj-F2BIfc/edit?gid=0#gid=0"",""3930!Z2"")"),8.0)</f>
        <v>8</v>
      </c>
      <c r="I244" s="171">
        <f>IFERROR(__xludf.DUMMYFUNCTION("IMPORTRANGE(""https://docs.google.com/spreadsheets/d/1tiL0lGJs8l1FznIlE4Ca1ARpslvtK6kGgBYfzeZoNNw/edit?gid=0#gid=0"",""3930!Z2"")"),0.0)</f>
        <v>0</v>
      </c>
      <c r="J244" s="171">
        <f>IFERROR(__xludf.DUMMYFUNCTION("IMPORTRANGE(""https://docs.google.com/spreadsheets/d/1LLtayRj359azArOKYATkFa1u0XDMGp1Jn4WCUlleQj0/edit?gid=0#gid=0"",""3930!Z2"")"),0.0)</f>
        <v>0</v>
      </c>
      <c r="K244" s="135">
        <f>IFERROR(__xludf.DUMMYFUNCTION("IMPORTRANGE(""https://docs.google.com/spreadsheets/d/1zNDSwhgqj8l6v-2sNXfA_Ku8lX_jir7p8Wt-H2-qw80/edit?gid=0#gid=0"",""3930!Z2"")"),0.0)</f>
        <v>0</v>
      </c>
      <c r="L244" s="135">
        <f>IFERROR(__xludf.DUMMYFUNCTION("IMPORTRANGE(""https://docs.google.com/spreadsheets/d/1mIt5QobWVrxUcfcSVFOfokW2W_VnZZbOpF8I70OE6L8/edit?gid=0#gid=0"",""3930!Z2"")"),3.0)</f>
        <v>3</v>
      </c>
      <c r="M244" s="135">
        <f>IFERROR(__xludf.DUMMYFUNCTION("IMPORTRANGE(""https://docs.google.com/spreadsheets/d/1KuJipsGd1IaAyLNhqUabCsnnVzL27mc7bG4cDVfQr38/edit?gid=0#gid=0"",""3930!Z2"")"),0.0)</f>
        <v>0</v>
      </c>
      <c r="N244" s="183"/>
      <c r="O244" s="181">
        <f t="shared" si="6"/>
        <v>50</v>
      </c>
      <c r="P244" s="182"/>
      <c r="Q244" s="182"/>
      <c r="R244" s="183"/>
      <c r="S244" s="182"/>
      <c r="T244" s="182"/>
      <c r="U244" s="47">
        <f t="shared" si="7"/>
        <v>0</v>
      </c>
      <c r="V244" s="182"/>
      <c r="W244" s="182"/>
      <c r="X244" s="182"/>
      <c r="Y244" s="182"/>
      <c r="Z244" s="133"/>
    </row>
    <row r="245">
      <c r="B245" s="53">
        <v>6803931.0</v>
      </c>
      <c r="C245" s="124" t="s">
        <v>526</v>
      </c>
      <c r="D245" s="176" t="s">
        <v>29</v>
      </c>
      <c r="E245" s="177" t="s">
        <v>527</v>
      </c>
      <c r="F245" s="178">
        <f>IFERROR(__xludf.DUMMYFUNCTION("IMPORTRANGE(""https://docs.google.com/spreadsheets/d/14F0mnOF0WZE--9ZM8IXGlHfTDE7lUvjRM8DMPE4taLg/edit?gid=0#gid=0"",""3931!Z2"")"),0.0)</f>
        <v>0</v>
      </c>
      <c r="G245" s="171">
        <f>IFERROR(__xludf.DUMMYFUNCTION("IMPORTRANGE(""https://docs.google.com/spreadsheets/d/1eurEunDb-ysb1pCzsgqDKgU1J0MkfrtwxNJwjUHJpLs/edit?gid=0#gid=0"",""3931!Z2"")"),13.0)</f>
        <v>13</v>
      </c>
      <c r="H245" s="171">
        <f>IFERROR(__xludf.DUMMYFUNCTION("IMPORTRANGE(""https://docs.google.com/spreadsheets/d/1EyFqCuGrfVTzjObzA4vrOWW51hVKTv4iVSlj-F2BIfc/edit?gid=0#gid=0"",""3931!Z2"")"),0.0)</f>
        <v>0</v>
      </c>
      <c r="I245" s="171">
        <f>IFERROR(__xludf.DUMMYFUNCTION("IMPORTRANGE(""https://docs.google.com/spreadsheets/d/1tiL0lGJs8l1FznIlE4Ca1ARpslvtK6kGgBYfzeZoNNw/edit?gid=0#gid=0"",""3931!Z2"")"),0.0)</f>
        <v>0</v>
      </c>
      <c r="J245" s="171">
        <f>IFERROR(__xludf.DUMMYFUNCTION("IMPORTRANGE(""https://docs.google.com/spreadsheets/d/1LLtayRj359azArOKYATkFa1u0XDMGp1Jn4WCUlleQj0/edit?gid=0#gid=0"",""3931!Z2"")"),0.0)</f>
        <v>0</v>
      </c>
      <c r="K245" s="135">
        <f>IFERROR(__xludf.DUMMYFUNCTION("IMPORTRANGE(""https://docs.google.com/spreadsheets/d/1zNDSwhgqj8l6v-2sNXfA_Ku8lX_jir7p8Wt-H2-qw80/edit?gid=0#gid=0"",""3931!Z2"")"),0.0)</f>
        <v>0</v>
      </c>
      <c r="L245" s="135">
        <f>IFERROR(__xludf.DUMMYFUNCTION("IMPORTRANGE(""https://docs.google.com/spreadsheets/d/1mIt5QobWVrxUcfcSVFOfokW2W_VnZZbOpF8I70OE6L8/edit?gid=0#gid=0"",""3931!Z2"")"),0.0)</f>
        <v>0</v>
      </c>
      <c r="M245" s="135">
        <f>IFERROR(__xludf.DUMMYFUNCTION("IMPORTRANGE(""https://docs.google.com/spreadsheets/d/1KuJipsGd1IaAyLNhqUabCsnnVzL27mc7bG4cDVfQr38/edit?gid=0#gid=0"",""3931!Z2"")"),0.0)</f>
        <v>0</v>
      </c>
      <c r="N245" s="183"/>
      <c r="O245" s="181">
        <f t="shared" si="6"/>
        <v>33</v>
      </c>
      <c r="P245" s="59" t="s">
        <v>118</v>
      </c>
      <c r="Q245" s="182"/>
      <c r="R245" s="183"/>
      <c r="S245" s="45">
        <v>20.0</v>
      </c>
      <c r="T245" s="182"/>
      <c r="U245" s="47">
        <f t="shared" si="7"/>
        <v>0</v>
      </c>
      <c r="V245" s="182"/>
      <c r="W245" s="182"/>
      <c r="X245" s="182"/>
      <c r="Y245" s="182"/>
      <c r="Z245" s="133"/>
    </row>
    <row r="246">
      <c r="B246" s="53">
        <v>6803932.0</v>
      </c>
      <c r="C246" s="124" t="s">
        <v>528</v>
      </c>
      <c r="D246" s="176" t="s">
        <v>29</v>
      </c>
      <c r="E246" s="177" t="s">
        <v>529</v>
      </c>
      <c r="F246" s="178">
        <f>IFERROR(__xludf.DUMMYFUNCTION("IMPORTRANGE(""https://docs.google.com/spreadsheets/d/14F0mnOF0WZE--9ZM8IXGlHfTDE7lUvjRM8DMPE4taLg/edit?gid=0#gid=0"",""3932!Z2"")"),0.0)</f>
        <v>0</v>
      </c>
      <c r="G246" s="171">
        <f>IFERROR(__xludf.DUMMYFUNCTION("IMPORTRANGE(""https://docs.google.com/spreadsheets/d/1eurEunDb-ysb1pCzsgqDKgU1J0MkfrtwxNJwjUHJpLs/edit?gid=0#gid=0"",""3932!Z2"")"),5.0)</f>
        <v>5</v>
      </c>
      <c r="H246" s="171">
        <f>IFERROR(__xludf.DUMMYFUNCTION("IMPORTRANGE(""https://docs.google.com/spreadsheets/d/1EyFqCuGrfVTzjObzA4vrOWW51hVKTv4iVSlj-F2BIfc/edit?gid=0#gid=0"",""3932!Z2"")"),41.0)</f>
        <v>41</v>
      </c>
      <c r="I246" s="171">
        <f>IFERROR(__xludf.DUMMYFUNCTION("IMPORTRANGE(""https://docs.google.com/spreadsheets/d/1tiL0lGJs8l1FznIlE4Ca1ARpslvtK6kGgBYfzeZoNNw/edit?gid=0#gid=0"",""3932!Z2"")"),0.0)</f>
        <v>0</v>
      </c>
      <c r="J246" s="171">
        <f>IFERROR(__xludf.DUMMYFUNCTION("IMPORTRANGE(""https://docs.google.com/spreadsheets/d/1LLtayRj359azArOKYATkFa1u0XDMGp1Jn4WCUlleQj0/edit?gid=0#gid=0"",""3932!Z2"")"),0.0)</f>
        <v>0</v>
      </c>
      <c r="K246" s="135">
        <f>IFERROR(__xludf.DUMMYFUNCTION("IMPORTRANGE(""https://docs.google.com/spreadsheets/d/1zNDSwhgqj8l6v-2sNXfA_Ku8lX_jir7p8Wt-H2-qw80/edit?gid=0#gid=0"",""3932!Z2"")"),4.0)</f>
        <v>4</v>
      </c>
      <c r="L246" s="135">
        <f>IFERROR(__xludf.DUMMYFUNCTION("IMPORTRANGE(""https://docs.google.com/spreadsheets/d/1mIt5QobWVrxUcfcSVFOfokW2W_VnZZbOpF8I70OE6L8/edit?gid=0#gid=0"",""3932!Z2"")"),4.0)</f>
        <v>4</v>
      </c>
      <c r="M246" s="135">
        <f>IFERROR(__xludf.DUMMYFUNCTION("IMPORTRANGE(""https://docs.google.com/spreadsheets/d/1KuJipsGd1IaAyLNhqUabCsnnVzL27mc7bG4cDVfQr38/edit?gid=0#gid=0"",""3932!Z2"")"),0.0)</f>
        <v>0</v>
      </c>
      <c r="N246" s="183"/>
      <c r="O246" s="181">
        <f t="shared" si="6"/>
        <v>54</v>
      </c>
      <c r="P246" s="182"/>
      <c r="Q246" s="182"/>
      <c r="R246" s="183"/>
      <c r="S246" s="182"/>
      <c r="T246" s="182"/>
      <c r="U246" s="47">
        <f t="shared" si="7"/>
        <v>0</v>
      </c>
      <c r="V246" s="182"/>
      <c r="W246" s="182"/>
      <c r="X246" s="182"/>
      <c r="Y246" s="182"/>
      <c r="Z246" s="133"/>
    </row>
    <row r="247">
      <c r="B247" s="53">
        <v>6803933.0</v>
      </c>
      <c r="C247" s="124" t="s">
        <v>530</v>
      </c>
      <c r="D247" s="176" t="s">
        <v>29</v>
      </c>
      <c r="E247" s="177" t="s">
        <v>531</v>
      </c>
      <c r="F247" s="178">
        <f>IFERROR(__xludf.DUMMYFUNCTION("IMPORTRANGE(""https://docs.google.com/spreadsheets/d/14F0mnOF0WZE--9ZM8IXGlHfTDE7lUvjRM8DMPE4taLg/edit?gid=0#gid=0"",""3933!Z2"")"),16.0)</f>
        <v>16</v>
      </c>
      <c r="G247" s="171">
        <f>IFERROR(__xludf.DUMMYFUNCTION("IMPORTRANGE(""https://docs.google.com/spreadsheets/d/1eurEunDb-ysb1pCzsgqDKgU1J0MkfrtwxNJwjUHJpLs/edit?gid=0#gid=0"",""3933!Z2"")"),15.0)</f>
        <v>15</v>
      </c>
      <c r="H247" s="171">
        <f>IFERROR(__xludf.DUMMYFUNCTION("IMPORTRANGE(""https://docs.google.com/spreadsheets/d/1EyFqCuGrfVTzjObzA4vrOWW51hVKTv4iVSlj-F2BIfc/edit?gid=0#gid=0"",""3933!Z2"")"),5.0)</f>
        <v>5</v>
      </c>
      <c r="I247" s="171">
        <f>IFERROR(__xludf.DUMMYFUNCTION("IMPORTRANGE(""https://docs.google.com/spreadsheets/d/1tiL0lGJs8l1FznIlE4Ca1ARpslvtK6kGgBYfzeZoNNw/edit?gid=0#gid=0"",""3933!Z2"")"),0.0)</f>
        <v>0</v>
      </c>
      <c r="J247" s="171">
        <f>IFERROR(__xludf.DUMMYFUNCTION("IMPORTRANGE(""https://docs.google.com/spreadsheets/d/1LLtayRj359azArOKYATkFa1u0XDMGp1Jn4WCUlleQj0/edit?gid=0#gid=0"",""3933!Z2"")"),0.0)</f>
        <v>0</v>
      </c>
      <c r="K247" s="135">
        <f>IFERROR(__xludf.DUMMYFUNCTION("IMPORTRANGE(""https://docs.google.com/spreadsheets/d/1zNDSwhgqj8l6v-2sNXfA_Ku8lX_jir7p8Wt-H2-qw80/edit?gid=0#gid=0"",""3933!Z2"")"),0.0)</f>
        <v>0</v>
      </c>
      <c r="L247" s="135">
        <f>IFERROR(__xludf.DUMMYFUNCTION("IMPORTRANGE(""https://docs.google.com/spreadsheets/d/1mIt5QobWVrxUcfcSVFOfokW2W_VnZZbOpF8I70OE6L8/edit?gid=0#gid=0"",""3933!Z2"")"),0.0)</f>
        <v>0</v>
      </c>
      <c r="M247" s="135">
        <f>IFERROR(__xludf.DUMMYFUNCTION("IMPORTRANGE(""https://docs.google.com/spreadsheets/d/1KuJipsGd1IaAyLNhqUabCsnnVzL27mc7bG4cDVfQr38/edit?gid=0#gid=0"",""3933!Z2"")"),0.0)</f>
        <v>0</v>
      </c>
      <c r="N247" s="183"/>
      <c r="O247" s="181">
        <f t="shared" si="6"/>
        <v>56</v>
      </c>
      <c r="P247" s="59" t="s">
        <v>34</v>
      </c>
      <c r="Q247" s="182"/>
      <c r="R247" s="183"/>
      <c r="S247" s="45">
        <v>20.0</v>
      </c>
      <c r="T247" s="182"/>
      <c r="U247" s="47">
        <f t="shared" si="7"/>
        <v>0</v>
      </c>
      <c r="V247" s="182"/>
      <c r="W247" s="182"/>
      <c r="X247" s="182"/>
      <c r="Y247" s="182"/>
      <c r="Z247" s="133"/>
    </row>
    <row r="248">
      <c r="B248" s="53">
        <v>6803934.0</v>
      </c>
      <c r="C248" s="124" t="s">
        <v>532</v>
      </c>
      <c r="D248" s="176" t="s">
        <v>29</v>
      </c>
      <c r="E248" s="177" t="s">
        <v>533</v>
      </c>
      <c r="F248" s="178">
        <f>IFERROR(__xludf.DUMMYFUNCTION("IMPORTRANGE(""https://docs.google.com/spreadsheets/d/14F0mnOF0WZE--9ZM8IXGlHfTDE7lUvjRM8DMPE4taLg/edit?gid=0#gid=0"",""3934!Z2"")"),8.0)</f>
        <v>8</v>
      </c>
      <c r="G248" s="171">
        <f>IFERROR(__xludf.DUMMYFUNCTION("IMPORTRANGE(""https://docs.google.com/spreadsheets/d/1eurEunDb-ysb1pCzsgqDKgU1J0MkfrtwxNJwjUHJpLs/edit?gid=0#gid=0"",""3934!Z2"")"),35.0)</f>
        <v>35</v>
      </c>
      <c r="H248" s="171">
        <f>IFERROR(__xludf.DUMMYFUNCTION("IMPORTRANGE(""https://docs.google.com/spreadsheets/d/1EyFqCuGrfVTzjObzA4vrOWW51hVKTv4iVSlj-F2BIfc/edit?gid=0#gid=0"",""3934!Z2"")"),5.0)</f>
        <v>5</v>
      </c>
      <c r="I248" s="171">
        <f>IFERROR(__xludf.DUMMYFUNCTION("IMPORTRANGE(""https://docs.google.com/spreadsheets/d/1tiL0lGJs8l1FznIlE4Ca1ARpslvtK6kGgBYfzeZoNNw/edit?gid=0#gid=0"",""3934!Z2"")"),0.0)</f>
        <v>0</v>
      </c>
      <c r="J248" s="171">
        <f>IFERROR(__xludf.DUMMYFUNCTION("IMPORTRANGE(""https://docs.google.com/spreadsheets/d/1LLtayRj359azArOKYATkFa1u0XDMGp1Jn4WCUlleQj0/edit?gid=0#gid=0"",""3934!Z2"")"),0.0)</f>
        <v>0</v>
      </c>
      <c r="K248" s="135">
        <f>IFERROR(__xludf.DUMMYFUNCTION("IMPORTRANGE(""https://docs.google.com/spreadsheets/d/1zNDSwhgqj8l6v-2sNXfA_Ku8lX_jir7p8Wt-H2-qw80/edit?gid=0#gid=0"",""3934!Z2"")"),8.0)</f>
        <v>8</v>
      </c>
      <c r="L248" s="135">
        <f>IFERROR(__xludf.DUMMYFUNCTION("IMPORTRANGE(""https://docs.google.com/spreadsheets/d/1mIt5QobWVrxUcfcSVFOfokW2W_VnZZbOpF8I70OE6L8/edit?gid=0#gid=0"",""3934!Z2"")"),8.0)</f>
        <v>8</v>
      </c>
      <c r="M248" s="135">
        <f>IFERROR(__xludf.DUMMYFUNCTION("IMPORTRANGE(""https://docs.google.com/spreadsheets/d/1KuJipsGd1IaAyLNhqUabCsnnVzL27mc7bG4cDVfQr38/edit?gid=0#gid=0"",""3934!Z2"")"),0.0)</f>
        <v>0</v>
      </c>
      <c r="N248" s="183"/>
      <c r="O248" s="181">
        <f t="shared" si="6"/>
        <v>64</v>
      </c>
      <c r="P248" s="182"/>
      <c r="Q248" s="182"/>
      <c r="R248" s="183"/>
      <c r="S248" s="182"/>
      <c r="T248" s="182"/>
      <c r="U248" s="47">
        <f t="shared" si="7"/>
        <v>0</v>
      </c>
      <c r="V248" s="182"/>
      <c r="W248" s="182"/>
      <c r="X248" s="182"/>
      <c r="Y248" s="182"/>
      <c r="Z248" s="133"/>
    </row>
    <row r="249">
      <c r="B249" s="53">
        <v>6803935.0</v>
      </c>
      <c r="C249" s="124" t="s">
        <v>534</v>
      </c>
      <c r="D249" s="176" t="s">
        <v>29</v>
      </c>
      <c r="E249" s="177" t="s">
        <v>535</v>
      </c>
      <c r="F249" s="178">
        <f>IFERROR(__xludf.DUMMYFUNCTION("IMPORTRANGE(""https://docs.google.com/spreadsheets/d/14F0mnOF0WZE--9ZM8IXGlHfTDE7lUvjRM8DMPE4taLg/edit?gid=0#gid=0"",""3935!Z2"")"),0.0)</f>
        <v>0</v>
      </c>
      <c r="G249" s="171">
        <f>IFERROR(__xludf.DUMMYFUNCTION("IMPORTRANGE(""https://docs.google.com/spreadsheets/d/1eurEunDb-ysb1pCzsgqDKgU1J0MkfrtwxNJwjUHJpLs/edit?gid=0#gid=0"",""3935!Z2"")"),8.0)</f>
        <v>8</v>
      </c>
      <c r="H249" s="171">
        <f>IFERROR(__xludf.DUMMYFUNCTION("IMPORTRANGE(""https://docs.google.com/spreadsheets/d/1EyFqCuGrfVTzjObzA4vrOWW51hVKTv4iVSlj-F2BIfc/edit?gid=0#gid=0"",""3935!Z2"")"),25.0)</f>
        <v>25</v>
      </c>
      <c r="I249" s="171">
        <f>IFERROR(__xludf.DUMMYFUNCTION("IMPORTRANGE(""https://docs.google.com/spreadsheets/d/1tiL0lGJs8l1FznIlE4Ca1ARpslvtK6kGgBYfzeZoNNw/edit?gid=0#gid=0"",""3935!Z2"")"),0.0)</f>
        <v>0</v>
      </c>
      <c r="J249" s="171">
        <f>IFERROR(__xludf.DUMMYFUNCTION("IMPORTRANGE(""https://docs.google.com/spreadsheets/d/1LLtayRj359azArOKYATkFa1u0XDMGp1Jn4WCUlleQj0/edit?gid=0#gid=0"",""3935!Z2"")"),0.0)</f>
        <v>0</v>
      </c>
      <c r="K249" s="135">
        <f>IFERROR(__xludf.DUMMYFUNCTION("IMPORTRANGE(""https://docs.google.com/spreadsheets/d/1zNDSwhgqj8l6v-2sNXfA_Ku8lX_jir7p8Wt-H2-qw80/edit?gid=0#gid=0"",""3935!Z2"")"),0.0)</f>
        <v>0</v>
      </c>
      <c r="L249" s="135">
        <f>IFERROR(__xludf.DUMMYFUNCTION("IMPORTRANGE(""https://docs.google.com/spreadsheets/d/1mIt5QobWVrxUcfcSVFOfokW2W_VnZZbOpF8I70OE6L8/edit?gid=0#gid=0"",""3935!Z2"")"),4.0)</f>
        <v>4</v>
      </c>
      <c r="M249" s="135">
        <f>IFERROR(__xludf.DUMMYFUNCTION("IMPORTRANGE(""https://docs.google.com/spreadsheets/d/1KuJipsGd1IaAyLNhqUabCsnnVzL27mc7bG4cDVfQr38/edit?gid=0#gid=0"",""3935!Z2"")"),13.0)</f>
        <v>13</v>
      </c>
      <c r="N249" s="183"/>
      <c r="O249" s="181">
        <f t="shared" si="6"/>
        <v>50</v>
      </c>
      <c r="P249" s="182"/>
      <c r="Q249" s="182"/>
      <c r="R249" s="183"/>
      <c r="S249" s="182"/>
      <c r="T249" s="182"/>
      <c r="U249" s="47">
        <f t="shared" si="7"/>
        <v>0</v>
      </c>
      <c r="V249" s="182"/>
      <c r="W249" s="182"/>
      <c r="X249" s="182"/>
      <c r="Y249" s="182"/>
      <c r="Z249" s="133"/>
    </row>
    <row r="250">
      <c r="B250" s="53">
        <v>6803936.0</v>
      </c>
      <c r="C250" s="124" t="s">
        <v>536</v>
      </c>
      <c r="D250" s="176" t="s">
        <v>29</v>
      </c>
      <c r="E250" s="177" t="s">
        <v>537</v>
      </c>
      <c r="F250" s="178">
        <f>IFERROR(__xludf.DUMMYFUNCTION("IMPORTRANGE(""https://docs.google.com/spreadsheets/d/14F0mnOF0WZE--9ZM8IXGlHfTDE7lUvjRM8DMPE4taLg/edit?gid=0#gid=0"",""3936!Z2"")"),16.0)</f>
        <v>16</v>
      </c>
      <c r="G250" s="171">
        <f>IFERROR(__xludf.DUMMYFUNCTION("IMPORTRANGE(""https://docs.google.com/spreadsheets/d/1eurEunDb-ysb1pCzsgqDKgU1J0MkfrtwxNJwjUHJpLs/edit?gid=0#gid=0"",""3936!Z2"")"),8.0)</f>
        <v>8</v>
      </c>
      <c r="H250" s="171">
        <f>IFERROR(__xludf.DUMMYFUNCTION("IMPORTRANGE(""https://docs.google.com/spreadsheets/d/1EyFqCuGrfVTzjObzA4vrOWW51hVKTv4iVSlj-F2BIfc/edit?gid=0#gid=0"",""3936!Z2"")"),27.0)</f>
        <v>27</v>
      </c>
      <c r="I250" s="171">
        <f>IFERROR(__xludf.DUMMYFUNCTION("IMPORTRANGE(""https://docs.google.com/spreadsheets/d/1tiL0lGJs8l1FznIlE4Ca1ARpslvtK6kGgBYfzeZoNNw/edit?gid=0#gid=0"",""3936!Z2"")"),0.0)</f>
        <v>0</v>
      </c>
      <c r="J250" s="171">
        <f>IFERROR(__xludf.DUMMYFUNCTION("IMPORTRANGE(""https://docs.google.com/spreadsheets/d/1LLtayRj359azArOKYATkFa1u0XDMGp1Jn4WCUlleQj0/edit?gid=0#gid=0"",""3936!Z2"")"),0.0)</f>
        <v>0</v>
      </c>
      <c r="K250" s="135">
        <f>IFERROR(__xludf.DUMMYFUNCTION("IMPORTRANGE(""https://docs.google.com/spreadsheets/d/1zNDSwhgqj8l6v-2sNXfA_Ku8lX_jir7p8Wt-H2-qw80/edit?gid=0#gid=0"",""3936!Z2"")"),0.0)</f>
        <v>0</v>
      </c>
      <c r="L250" s="135">
        <f>IFERROR(__xludf.DUMMYFUNCTION("IMPORTRANGE(""https://docs.google.com/spreadsheets/d/1mIt5QobWVrxUcfcSVFOfokW2W_VnZZbOpF8I70OE6L8/edit?gid=0#gid=0"",""3936!Z2"")"),4.0)</f>
        <v>4</v>
      </c>
      <c r="M250" s="135">
        <f>IFERROR(__xludf.DUMMYFUNCTION("IMPORTRANGE(""https://docs.google.com/spreadsheets/d/1KuJipsGd1IaAyLNhqUabCsnnVzL27mc7bG4cDVfQr38/edit?gid=0#gid=0"",""3936!Z2"")"),0.0)</f>
        <v>0</v>
      </c>
      <c r="N250" s="183"/>
      <c r="O250" s="181">
        <f t="shared" si="6"/>
        <v>55</v>
      </c>
      <c r="P250" s="182"/>
      <c r="Q250" s="182"/>
      <c r="R250" s="183"/>
      <c r="S250" s="182"/>
      <c r="T250" s="182"/>
      <c r="U250" s="47">
        <f t="shared" si="7"/>
        <v>0</v>
      </c>
      <c r="V250" s="182"/>
      <c r="W250" s="182"/>
      <c r="X250" s="182"/>
      <c r="Y250" s="182"/>
      <c r="Z250" s="133"/>
    </row>
    <row r="251">
      <c r="B251" s="53">
        <v>6803937.0</v>
      </c>
      <c r="C251" s="124" t="s">
        <v>538</v>
      </c>
      <c r="D251" s="176" t="s">
        <v>29</v>
      </c>
      <c r="E251" s="177" t="s">
        <v>539</v>
      </c>
      <c r="F251" s="178">
        <f>IFERROR(__xludf.DUMMYFUNCTION("IMPORTRANGE(""https://docs.google.com/spreadsheets/d/14F0mnOF0WZE--9ZM8IXGlHfTDE7lUvjRM8DMPE4taLg/edit?gid=0#gid=0"",""3937!Z2"")"),8.0)</f>
        <v>8</v>
      </c>
      <c r="G251" s="171">
        <f>IFERROR(__xludf.DUMMYFUNCTION("IMPORTRANGE(""https://docs.google.com/spreadsheets/d/1eurEunDb-ysb1pCzsgqDKgU1J0MkfrtwxNJwjUHJpLs/edit?gid=0#gid=0"",""3937!Z2"")"),8.0)</f>
        <v>8</v>
      </c>
      <c r="H251" s="171">
        <f>IFERROR(__xludf.DUMMYFUNCTION("IMPORTRANGE(""https://docs.google.com/spreadsheets/d/1EyFqCuGrfVTzjObzA4vrOWW51hVKTv4iVSlj-F2BIfc/edit?gid=0#gid=0"",""3937!Z2"")"),6.0)</f>
        <v>6</v>
      </c>
      <c r="I251" s="171">
        <f>IFERROR(__xludf.DUMMYFUNCTION("IMPORTRANGE(""https://docs.google.com/spreadsheets/d/1tiL0lGJs8l1FznIlE4Ca1ARpslvtK6kGgBYfzeZoNNw/edit?gid=0#gid=0"",""3937!Z2"")"),0.0)</f>
        <v>0</v>
      </c>
      <c r="J251" s="171">
        <f>IFERROR(__xludf.DUMMYFUNCTION("IMPORTRANGE(""https://docs.google.com/spreadsheets/d/1LLtayRj359azArOKYATkFa1u0XDMGp1Jn4WCUlleQj0/edit?gid=0#gid=0"",""3937!Z2"")"),0.0)</f>
        <v>0</v>
      </c>
      <c r="K251" s="135">
        <f>IFERROR(__xludf.DUMMYFUNCTION("IMPORTRANGE(""https://docs.google.com/spreadsheets/d/1zNDSwhgqj8l6v-2sNXfA_Ku8lX_jir7p8Wt-H2-qw80/edit?gid=0#gid=0"",""3937!Z2"")"),0.0)</f>
        <v>0</v>
      </c>
      <c r="L251" s="135">
        <f>IFERROR(__xludf.DUMMYFUNCTION("IMPORTRANGE(""https://docs.google.com/spreadsheets/d/1mIt5QobWVrxUcfcSVFOfokW2W_VnZZbOpF8I70OE6L8/edit?gid=0#gid=0"",""3937!Z2"")"),0.0)</f>
        <v>0</v>
      </c>
      <c r="M251" s="135">
        <f>IFERROR(__xludf.DUMMYFUNCTION("IMPORTRANGE(""https://docs.google.com/spreadsheets/d/1KuJipsGd1IaAyLNhqUabCsnnVzL27mc7bG4cDVfQr38/edit?gid=0#gid=0"",""3937!Z2"")"),0.0)</f>
        <v>0</v>
      </c>
      <c r="N251" s="183"/>
      <c r="O251" s="181">
        <f t="shared" si="6"/>
        <v>42</v>
      </c>
      <c r="P251" s="44" t="s">
        <v>196</v>
      </c>
      <c r="Q251" s="182"/>
      <c r="R251" s="183"/>
      <c r="S251" s="45">
        <v>20.0</v>
      </c>
      <c r="T251" s="182"/>
      <c r="U251" s="47">
        <f t="shared" si="7"/>
        <v>0</v>
      </c>
      <c r="V251" s="182"/>
      <c r="W251" s="182"/>
      <c r="X251" s="182"/>
      <c r="Y251" s="182"/>
      <c r="Z251" s="133"/>
    </row>
    <row r="252">
      <c r="B252" s="53">
        <v>6803938.0</v>
      </c>
      <c r="C252" s="124" t="s">
        <v>540</v>
      </c>
      <c r="D252" s="176" t="s">
        <v>29</v>
      </c>
      <c r="E252" s="177" t="s">
        <v>541</v>
      </c>
      <c r="F252" s="178">
        <f>IFERROR(__xludf.DUMMYFUNCTION("IMPORTRANGE(""https://docs.google.com/spreadsheets/d/14F0mnOF0WZE--9ZM8IXGlHfTDE7lUvjRM8DMPE4taLg/edit?gid=0#gid=0"",""3938!Z2"")"),0.0)</f>
        <v>0</v>
      </c>
      <c r="G252" s="171">
        <f>IFERROR(__xludf.DUMMYFUNCTION("IMPORTRANGE(""https://docs.google.com/spreadsheets/d/1eurEunDb-ysb1pCzsgqDKgU1J0MkfrtwxNJwjUHJpLs/edit?gid=0#gid=0"",""3938!Z2"")"),41.0)</f>
        <v>41</v>
      </c>
      <c r="H252" s="171">
        <f>IFERROR(__xludf.DUMMYFUNCTION("IMPORTRANGE(""https://docs.google.com/spreadsheets/d/1EyFqCuGrfVTzjObzA4vrOWW51hVKTv4iVSlj-F2BIfc/edit?gid=0#gid=0"",""3938!Z2"")"),5.0)</f>
        <v>5</v>
      </c>
      <c r="I252" s="171">
        <f>IFERROR(__xludf.DUMMYFUNCTION("IMPORTRANGE(""https://docs.google.com/spreadsheets/d/1tiL0lGJs8l1FznIlE4Ca1ARpslvtK6kGgBYfzeZoNNw/edit?gid=0#gid=0"",""3938!Z2"")"),0.0)</f>
        <v>0</v>
      </c>
      <c r="J252" s="171">
        <f>IFERROR(__xludf.DUMMYFUNCTION("IMPORTRANGE(""https://docs.google.com/spreadsheets/d/1LLtayRj359azArOKYATkFa1u0XDMGp1Jn4WCUlleQj0/edit?gid=0#gid=0"",""3938!Z2"")"),0.0)</f>
        <v>0</v>
      </c>
      <c r="K252" s="135">
        <f>IFERROR(__xludf.DUMMYFUNCTION("IMPORTRANGE(""https://docs.google.com/spreadsheets/d/1zNDSwhgqj8l6v-2sNXfA_Ku8lX_jir7p8Wt-H2-qw80/edit?gid=0#gid=0"",""3938!Z2"")"),0.0)</f>
        <v>0</v>
      </c>
      <c r="L252" s="135">
        <f>IFERROR(__xludf.DUMMYFUNCTION("IMPORTRANGE(""https://docs.google.com/spreadsheets/d/1mIt5QobWVrxUcfcSVFOfokW2W_VnZZbOpF8I70OE6L8/edit?gid=0#gid=0"",""3938!Z2"")"),0.0)</f>
        <v>0</v>
      </c>
      <c r="M252" s="135">
        <f>IFERROR(__xludf.DUMMYFUNCTION("IMPORTRANGE(""https://docs.google.com/spreadsheets/d/1KuJipsGd1IaAyLNhqUabCsnnVzL27mc7bG4cDVfQr38/edit?gid=0#gid=0"",""3938!Z2"")"),0.0)</f>
        <v>0</v>
      </c>
      <c r="N252" s="183"/>
      <c r="O252" s="181">
        <f t="shared" si="6"/>
        <v>66</v>
      </c>
      <c r="P252" s="59" t="s">
        <v>42</v>
      </c>
      <c r="Q252" s="182"/>
      <c r="R252" s="183"/>
      <c r="S252" s="45">
        <v>20.0</v>
      </c>
      <c r="T252" s="182"/>
      <c r="U252" s="47">
        <f t="shared" si="7"/>
        <v>0</v>
      </c>
      <c r="V252" s="182"/>
      <c r="W252" s="182"/>
      <c r="X252" s="182"/>
      <c r="Y252" s="182"/>
      <c r="Z252" s="133"/>
    </row>
    <row r="253">
      <c r="B253" s="53">
        <v>6803939.0</v>
      </c>
      <c r="C253" s="124" t="s">
        <v>542</v>
      </c>
      <c r="D253" s="176" t="s">
        <v>29</v>
      </c>
      <c r="E253" s="177" t="s">
        <v>543</v>
      </c>
      <c r="F253" s="178">
        <f>IFERROR(__xludf.DUMMYFUNCTION("IMPORTRANGE(""https://docs.google.com/spreadsheets/d/14F0mnOF0WZE--9ZM8IXGlHfTDE7lUvjRM8DMPE4taLg/edit?gid=0#gid=0"",""3939!Z2"")"),8.0)</f>
        <v>8</v>
      </c>
      <c r="G253" s="171">
        <f>IFERROR(__xludf.DUMMYFUNCTION("IMPORTRANGE(""https://docs.google.com/spreadsheets/d/1eurEunDb-ysb1pCzsgqDKgU1J0MkfrtwxNJwjUHJpLs/edit?gid=0#gid=0"",""3939!Z2"")"),8.0)</f>
        <v>8</v>
      </c>
      <c r="H253" s="171">
        <f>IFERROR(__xludf.DUMMYFUNCTION("IMPORTRANGE(""https://docs.google.com/spreadsheets/d/1EyFqCuGrfVTzjObzA4vrOWW51hVKTv4iVSlj-F2BIfc/edit?gid=0#gid=0"",""3939!Z2"")"),10.0)</f>
        <v>10</v>
      </c>
      <c r="I253" s="171">
        <f>IFERROR(__xludf.DUMMYFUNCTION("IMPORTRANGE(""https://docs.google.com/spreadsheets/d/1tiL0lGJs8l1FznIlE4Ca1ARpslvtK6kGgBYfzeZoNNw/edit?gid=0#gid=0"",""3939!Z2"")"),0.0)</f>
        <v>0</v>
      </c>
      <c r="J253" s="171">
        <f>IFERROR(__xludf.DUMMYFUNCTION("IMPORTRANGE(""https://docs.google.com/spreadsheets/d/1LLtayRj359azArOKYATkFa1u0XDMGp1Jn4WCUlleQj0/edit?gid=0#gid=0"",""3939!Z2"")"),0.0)</f>
        <v>0</v>
      </c>
      <c r="K253" s="135">
        <f>IFERROR(__xludf.DUMMYFUNCTION("IMPORTRANGE(""https://docs.google.com/spreadsheets/d/1zNDSwhgqj8l6v-2sNXfA_Ku8lX_jir7p8Wt-H2-qw80/edit?gid=0#gid=0"",""3939!Z2"")"),0.0)</f>
        <v>0</v>
      </c>
      <c r="L253" s="135">
        <f>IFERROR(__xludf.DUMMYFUNCTION("IMPORTRANGE(""https://docs.google.com/spreadsheets/d/1mIt5QobWVrxUcfcSVFOfokW2W_VnZZbOpF8I70OE6L8/edit?gid=0#gid=0"",""3939!Z2"")"),0.0)</f>
        <v>0</v>
      </c>
      <c r="M253" s="135">
        <f>IFERROR(__xludf.DUMMYFUNCTION("IMPORTRANGE(""https://docs.google.com/spreadsheets/d/1KuJipsGd1IaAyLNhqUabCsnnVzL27mc7bG4cDVfQr38/edit?gid=0#gid=0"",""3939!Z2"")"),0.0)</f>
        <v>0</v>
      </c>
      <c r="N253" s="183"/>
      <c r="O253" s="181">
        <f t="shared" si="6"/>
        <v>46</v>
      </c>
      <c r="P253" s="44" t="s">
        <v>196</v>
      </c>
      <c r="Q253" s="182"/>
      <c r="R253" s="183"/>
      <c r="S253" s="45">
        <v>20.0</v>
      </c>
      <c r="T253" s="182"/>
      <c r="U253" s="47">
        <f t="shared" si="7"/>
        <v>0</v>
      </c>
      <c r="V253" s="182"/>
      <c r="W253" s="182"/>
      <c r="X253" s="182"/>
      <c r="Y253" s="182"/>
      <c r="Z253" s="133"/>
    </row>
    <row r="254">
      <c r="B254" s="53">
        <v>6803940.0</v>
      </c>
      <c r="C254" s="124" t="s">
        <v>544</v>
      </c>
      <c r="D254" s="176" t="s">
        <v>29</v>
      </c>
      <c r="E254" s="177" t="s">
        <v>545</v>
      </c>
      <c r="F254" s="178">
        <f>IFERROR(__xludf.DUMMYFUNCTION("IMPORTRANGE(""https://docs.google.com/spreadsheets/d/14F0mnOF0WZE--9ZM8IXGlHfTDE7lUvjRM8DMPE4taLg/edit?gid=0#gid=0"",""3940!Z2"")"),8.0)</f>
        <v>8</v>
      </c>
      <c r="G254" s="171">
        <f>IFERROR(__xludf.DUMMYFUNCTION("IMPORTRANGE(""https://docs.google.com/spreadsheets/d/1eurEunDb-ysb1pCzsgqDKgU1J0MkfrtwxNJwjUHJpLs/edit?gid=0#gid=0"",""3940!Z2"")"),0.0)</f>
        <v>0</v>
      </c>
      <c r="H254" s="171">
        <f>IFERROR(__xludf.DUMMYFUNCTION("IMPORTRANGE(""https://docs.google.com/spreadsheets/d/1EyFqCuGrfVTzjObzA4vrOWW51hVKTv4iVSlj-F2BIfc/edit?gid=0#gid=0"",""3940!Z2"")"),7.0)</f>
        <v>7</v>
      </c>
      <c r="I254" s="171">
        <f>IFERROR(__xludf.DUMMYFUNCTION("IMPORTRANGE(""https://docs.google.com/spreadsheets/d/1tiL0lGJs8l1FznIlE4Ca1ARpslvtK6kGgBYfzeZoNNw/edit?gid=0#gid=0"",""3940!Z2"")"),0.0)</f>
        <v>0</v>
      </c>
      <c r="J254" s="171">
        <f>IFERROR(__xludf.DUMMYFUNCTION("IMPORTRANGE(""https://docs.google.com/spreadsheets/d/1LLtayRj359azArOKYATkFa1u0XDMGp1Jn4WCUlleQj0/edit?gid=0#gid=0"",""3940!Z2"")"),0.0)</f>
        <v>0</v>
      </c>
      <c r="K254" s="135">
        <f>IFERROR(__xludf.DUMMYFUNCTION("IMPORTRANGE(""https://docs.google.com/spreadsheets/d/1zNDSwhgqj8l6v-2sNXfA_Ku8lX_jir7p8Wt-H2-qw80/edit?gid=0#gid=0"",""3940!Z2"")"),0.0)</f>
        <v>0</v>
      </c>
      <c r="L254" s="135">
        <f>IFERROR(__xludf.DUMMYFUNCTION("IMPORTRANGE(""https://docs.google.com/spreadsheets/d/1mIt5QobWVrxUcfcSVFOfokW2W_VnZZbOpF8I70OE6L8/edit?gid=0#gid=0"",""3940!Z2"")"),4.0)</f>
        <v>4</v>
      </c>
      <c r="M254" s="135">
        <f>IFERROR(__xludf.DUMMYFUNCTION("IMPORTRANGE(""https://docs.google.com/spreadsheets/d/1KuJipsGd1IaAyLNhqUabCsnnVzL27mc7bG4cDVfQr38/edit?gid=0#gid=0"",""3940!Z2"")"),0.0)</f>
        <v>0</v>
      </c>
      <c r="N254" s="183"/>
      <c r="O254" s="181">
        <f t="shared" si="6"/>
        <v>39</v>
      </c>
      <c r="P254" s="59" t="s">
        <v>118</v>
      </c>
      <c r="Q254" s="182"/>
      <c r="R254" s="183"/>
      <c r="S254" s="45">
        <v>20.0</v>
      </c>
      <c r="T254" s="182"/>
      <c r="U254" s="47">
        <f t="shared" si="7"/>
        <v>0</v>
      </c>
      <c r="V254" s="182"/>
      <c r="W254" s="182"/>
      <c r="X254" s="182"/>
      <c r="Y254" s="182"/>
      <c r="Z254" s="133"/>
    </row>
    <row r="255">
      <c r="B255" s="53">
        <v>6803941.0</v>
      </c>
      <c r="C255" s="124" t="s">
        <v>546</v>
      </c>
      <c r="D255" s="176" t="s">
        <v>29</v>
      </c>
      <c r="E255" s="177" t="s">
        <v>547</v>
      </c>
      <c r="F255" s="178">
        <f>IFERROR(__xludf.DUMMYFUNCTION("IMPORTRANGE(""https://docs.google.com/spreadsheets/d/14F0mnOF0WZE--9ZM8IXGlHfTDE7lUvjRM8DMPE4taLg/edit?gid=0#gid=0"",""3941!Z2"")"),8.0)</f>
        <v>8</v>
      </c>
      <c r="G255" s="171">
        <f>IFERROR(__xludf.DUMMYFUNCTION("IMPORTRANGE(""https://docs.google.com/spreadsheets/d/1eurEunDb-ysb1pCzsgqDKgU1J0MkfrtwxNJwjUHJpLs/edit?gid=0#gid=0"",""3941!Z2"")"),8.0)</f>
        <v>8</v>
      </c>
      <c r="H255" s="171">
        <f>IFERROR(__xludf.DUMMYFUNCTION("IMPORTRANGE(""https://docs.google.com/spreadsheets/d/1EyFqCuGrfVTzjObzA4vrOWW51hVKTv4iVSlj-F2BIfc/edit?gid=0#gid=0"",""3941!Z2"")"),5.0)</f>
        <v>5</v>
      </c>
      <c r="I255" s="171">
        <f>IFERROR(__xludf.DUMMYFUNCTION("IMPORTRANGE(""https://docs.google.com/spreadsheets/d/1tiL0lGJs8l1FznIlE4Ca1ARpslvtK6kGgBYfzeZoNNw/edit?gid=0#gid=0"",""3941!Z2"")"),0.0)</f>
        <v>0</v>
      </c>
      <c r="J255" s="171">
        <f>IFERROR(__xludf.DUMMYFUNCTION("IMPORTRANGE(""https://docs.google.com/spreadsheets/d/1LLtayRj359azArOKYATkFa1u0XDMGp1Jn4WCUlleQj0/edit?gid=0#gid=0"",""3941!Z2"")"),0.0)</f>
        <v>0</v>
      </c>
      <c r="K255" s="135">
        <f>IFERROR(__xludf.DUMMYFUNCTION("IMPORTRANGE(""https://docs.google.com/spreadsheets/d/1zNDSwhgqj8l6v-2sNXfA_Ku8lX_jir7p8Wt-H2-qw80/edit?gid=0#gid=0"",""3941!Z2"")"),0.0)</f>
        <v>0</v>
      </c>
      <c r="L255" s="135">
        <f>IFERROR(__xludf.DUMMYFUNCTION("IMPORTRANGE(""https://docs.google.com/spreadsheets/d/1mIt5QobWVrxUcfcSVFOfokW2W_VnZZbOpF8I70OE6L8/edit?gid=0#gid=0"",""3941!Z2"")"),0.0)</f>
        <v>0</v>
      </c>
      <c r="M255" s="135">
        <f>IFERROR(__xludf.DUMMYFUNCTION("IMPORTRANGE(""https://docs.google.com/spreadsheets/d/1KuJipsGd1IaAyLNhqUabCsnnVzL27mc7bG4cDVfQr38/edit?gid=0#gid=0"",""3941!Z2"")"),0.0)</f>
        <v>0</v>
      </c>
      <c r="N255" s="183"/>
      <c r="O255" s="181">
        <f t="shared" si="6"/>
        <v>41</v>
      </c>
      <c r="P255" s="59" t="s">
        <v>42</v>
      </c>
      <c r="Q255" s="182"/>
      <c r="R255" s="183"/>
      <c r="S255" s="45">
        <v>20.0</v>
      </c>
      <c r="T255" s="182"/>
      <c r="U255" s="47">
        <f t="shared" si="7"/>
        <v>0</v>
      </c>
      <c r="V255" s="182"/>
      <c r="W255" s="182"/>
      <c r="X255" s="182"/>
      <c r="Y255" s="182"/>
      <c r="Z255" s="133"/>
    </row>
    <row r="256">
      <c r="B256" s="53">
        <v>6803942.0</v>
      </c>
      <c r="C256" s="124" t="s">
        <v>548</v>
      </c>
      <c r="D256" s="176" t="s">
        <v>29</v>
      </c>
      <c r="E256" s="177" t="s">
        <v>549</v>
      </c>
      <c r="F256" s="178">
        <f>IFERROR(__xludf.DUMMYFUNCTION("IMPORTRANGE(""https://docs.google.com/spreadsheets/d/14F0mnOF0WZE--9ZM8IXGlHfTDE7lUvjRM8DMPE4taLg/edit?gid=0#gid=0"",""3942!Z2"")"),8.0)</f>
        <v>8</v>
      </c>
      <c r="G256" s="171">
        <f>IFERROR(__xludf.DUMMYFUNCTION("IMPORTRANGE(""https://docs.google.com/spreadsheets/d/1eurEunDb-ysb1pCzsgqDKgU1J0MkfrtwxNJwjUHJpLs/edit?gid=0#gid=0"",""3942!Z2"")"),8.0)</f>
        <v>8</v>
      </c>
      <c r="H256" s="171">
        <f>IFERROR(__xludf.DUMMYFUNCTION("IMPORTRANGE(""https://docs.google.com/spreadsheets/d/1EyFqCuGrfVTzjObzA4vrOWW51hVKTv4iVSlj-F2BIfc/edit?gid=0#gid=0"",""3942!Z2"")"),13.0)</f>
        <v>13</v>
      </c>
      <c r="I256" s="171">
        <f>IFERROR(__xludf.DUMMYFUNCTION("IMPORTRANGE(""https://docs.google.com/spreadsheets/d/1tiL0lGJs8l1FznIlE4Ca1ARpslvtK6kGgBYfzeZoNNw/edit?gid=0#gid=0"",""3942!Z2"")"),0.0)</f>
        <v>0</v>
      </c>
      <c r="J256" s="171">
        <f>IFERROR(__xludf.DUMMYFUNCTION("IMPORTRANGE(""https://docs.google.com/spreadsheets/d/1LLtayRj359azArOKYATkFa1u0XDMGp1Jn4WCUlleQj0/edit?gid=0#gid=0"",""3942!Z2"")"),0.0)</f>
        <v>0</v>
      </c>
      <c r="K256" s="135">
        <f>IFERROR(__xludf.DUMMYFUNCTION("IMPORTRANGE(""https://docs.google.com/spreadsheets/d/1zNDSwhgqj8l6v-2sNXfA_Ku8lX_jir7p8Wt-H2-qw80/edit?gid=0#gid=0"",""3942!Z2"")"),8.0)</f>
        <v>8</v>
      </c>
      <c r="L256" s="135">
        <f>IFERROR(__xludf.DUMMYFUNCTION("IMPORTRANGE(""https://docs.google.com/spreadsheets/d/1mIt5QobWVrxUcfcSVFOfokW2W_VnZZbOpF8I70OE6L8/edit?gid=0#gid=0"",""3942!Z2"")"),16.0)</f>
        <v>16</v>
      </c>
      <c r="M256" s="135">
        <f>IFERROR(__xludf.DUMMYFUNCTION("IMPORTRANGE(""https://docs.google.com/spreadsheets/d/1KuJipsGd1IaAyLNhqUabCsnnVzL27mc7bG4cDVfQr38/edit?gid=0#gid=0"",""3942!Z2"")"),0.0)</f>
        <v>0</v>
      </c>
      <c r="N256" s="183"/>
      <c r="O256" s="181">
        <f t="shared" si="6"/>
        <v>53</v>
      </c>
      <c r="P256" s="182"/>
      <c r="Q256" s="182"/>
      <c r="R256" s="183"/>
      <c r="S256" s="182"/>
      <c r="T256" s="182"/>
      <c r="U256" s="47">
        <f t="shared" si="7"/>
        <v>0</v>
      </c>
      <c r="V256" s="182"/>
      <c r="W256" s="182"/>
      <c r="X256" s="182"/>
      <c r="Y256" s="182"/>
      <c r="Z256" s="133"/>
    </row>
    <row r="257">
      <c r="B257" s="53">
        <v>6803943.0</v>
      </c>
      <c r="C257" s="124" t="s">
        <v>550</v>
      </c>
      <c r="D257" s="176" t="s">
        <v>29</v>
      </c>
      <c r="E257" s="177" t="s">
        <v>551</v>
      </c>
      <c r="F257" s="178">
        <f>IFERROR(__xludf.DUMMYFUNCTION("IMPORTRANGE(""https://docs.google.com/spreadsheets/d/14F0mnOF0WZE--9ZM8IXGlHfTDE7lUvjRM8DMPE4taLg/edit?gid=0#gid=0"",""3943!Z2"")"),0.0)</f>
        <v>0</v>
      </c>
      <c r="G257" s="171">
        <f>IFERROR(__xludf.DUMMYFUNCTION("IMPORTRANGE(""https://docs.google.com/spreadsheets/d/1eurEunDb-ysb1pCzsgqDKgU1J0MkfrtwxNJwjUHJpLs/edit?gid=0#gid=0"",""3943!Z2"")"),38.0)</f>
        <v>38</v>
      </c>
      <c r="H257" s="171">
        <f>IFERROR(__xludf.DUMMYFUNCTION("IMPORTRANGE(""https://docs.google.com/spreadsheets/d/1EyFqCuGrfVTzjObzA4vrOWW51hVKTv4iVSlj-F2BIfc/edit?gid=0#gid=0"",""3943!Z2"")"),9.0)</f>
        <v>9</v>
      </c>
      <c r="I257" s="171">
        <f>IFERROR(__xludf.DUMMYFUNCTION("IMPORTRANGE(""https://docs.google.com/spreadsheets/d/1tiL0lGJs8l1FznIlE4Ca1ARpslvtK6kGgBYfzeZoNNw/edit?gid=0#gid=0"",""3943!Z2"")"),0.0)</f>
        <v>0</v>
      </c>
      <c r="J257" s="171">
        <f>IFERROR(__xludf.DUMMYFUNCTION("IMPORTRANGE(""https://docs.google.com/spreadsheets/d/1LLtayRj359azArOKYATkFa1u0XDMGp1Jn4WCUlleQj0/edit?gid=0#gid=0"",""3943!Z2"")"),0.0)</f>
        <v>0</v>
      </c>
      <c r="K257" s="135">
        <f>IFERROR(__xludf.DUMMYFUNCTION("IMPORTRANGE(""https://docs.google.com/spreadsheets/d/1zNDSwhgqj8l6v-2sNXfA_Ku8lX_jir7p8Wt-H2-qw80/edit?gid=0#gid=0"",""3943!Z2"")"),0.0)</f>
        <v>0</v>
      </c>
      <c r="L257" s="135">
        <f>IFERROR(__xludf.DUMMYFUNCTION("IMPORTRANGE(""https://docs.google.com/spreadsheets/d/1mIt5QobWVrxUcfcSVFOfokW2W_VnZZbOpF8I70OE6L8/edit?gid=0#gid=0"",""3943!Z2"")"),8.0)</f>
        <v>8</v>
      </c>
      <c r="M257" s="135">
        <f>IFERROR(__xludf.DUMMYFUNCTION("IMPORTRANGE(""https://docs.google.com/spreadsheets/d/1KuJipsGd1IaAyLNhqUabCsnnVzL27mc7bG4cDVfQr38/edit?gid=0#gid=0"",""3943!Z2"")"),0.0)</f>
        <v>0</v>
      </c>
      <c r="N257" s="183"/>
      <c r="O257" s="181">
        <f t="shared" si="6"/>
        <v>55</v>
      </c>
      <c r="P257" s="182"/>
      <c r="Q257" s="182"/>
      <c r="R257" s="183"/>
      <c r="S257" s="182"/>
      <c r="T257" s="182"/>
      <c r="U257" s="47">
        <f t="shared" si="7"/>
        <v>0</v>
      </c>
      <c r="V257" s="182"/>
      <c r="W257" s="182"/>
      <c r="X257" s="182"/>
      <c r="Y257" s="182"/>
      <c r="Z257" s="133"/>
    </row>
    <row r="258">
      <c r="B258" s="53">
        <v>6803944.0</v>
      </c>
      <c r="C258" s="124" t="s">
        <v>552</v>
      </c>
      <c r="D258" s="176" t="s">
        <v>29</v>
      </c>
      <c r="E258" s="177" t="s">
        <v>553</v>
      </c>
      <c r="F258" s="178">
        <f>IFERROR(__xludf.DUMMYFUNCTION("IMPORTRANGE(""https://docs.google.com/spreadsheets/d/14F0mnOF0WZE--9ZM8IXGlHfTDE7lUvjRM8DMPE4taLg/edit?gid=0#gid=0"",""3944!Z2"")"),0.0)</f>
        <v>0</v>
      </c>
      <c r="G258" s="171">
        <f>IFERROR(__xludf.DUMMYFUNCTION("IMPORTRANGE(""https://docs.google.com/spreadsheets/d/1eurEunDb-ysb1pCzsgqDKgU1J0MkfrtwxNJwjUHJpLs/edit?gid=0#gid=0"",""3944!Z2"")"),18.0)</f>
        <v>18</v>
      </c>
      <c r="H258" s="171">
        <f>IFERROR(__xludf.DUMMYFUNCTION("IMPORTRANGE(""https://docs.google.com/spreadsheets/d/1EyFqCuGrfVTzjObzA4vrOWW51hVKTv4iVSlj-F2BIfc/edit?gid=0#gid=0"",""3944!Z2"")"),13.0)</f>
        <v>13</v>
      </c>
      <c r="I258" s="171">
        <f>IFERROR(__xludf.DUMMYFUNCTION("IMPORTRANGE(""https://docs.google.com/spreadsheets/d/1tiL0lGJs8l1FznIlE4Ca1ARpslvtK6kGgBYfzeZoNNw/edit?gid=0#gid=0"",""3944!Z2"")"),0.0)</f>
        <v>0</v>
      </c>
      <c r="J258" s="171">
        <f>IFERROR(__xludf.DUMMYFUNCTION("IMPORTRANGE(""https://docs.google.com/spreadsheets/d/1LLtayRj359azArOKYATkFa1u0XDMGp1Jn4WCUlleQj0/edit?gid=0#gid=0"",""3944!Z2"")"),20.0)</f>
        <v>20</v>
      </c>
      <c r="K258" s="135">
        <f>IFERROR(__xludf.DUMMYFUNCTION("IMPORTRANGE(""https://docs.google.com/spreadsheets/d/1zNDSwhgqj8l6v-2sNXfA_Ku8lX_jir7p8Wt-H2-qw80/edit?gid=0#gid=0"",""3944!Z2"")"),2.0)</f>
        <v>2</v>
      </c>
      <c r="L258" s="135">
        <f>IFERROR(__xludf.DUMMYFUNCTION("IMPORTRANGE(""https://docs.google.com/spreadsheets/d/1mIt5QobWVrxUcfcSVFOfokW2W_VnZZbOpF8I70OE6L8/edit?gid=0#gid=0"",""3944!Z2"")"),0.0)</f>
        <v>0</v>
      </c>
      <c r="M258" s="135">
        <f>IFERROR(__xludf.DUMMYFUNCTION("IMPORTRANGE(""https://docs.google.com/spreadsheets/d/1KuJipsGd1IaAyLNhqUabCsnnVzL27mc7bG4cDVfQr38/edit?gid=0#gid=0"",""3944!Z2"")"),0.0)</f>
        <v>0</v>
      </c>
      <c r="N258" s="183"/>
      <c r="O258" s="181">
        <f t="shared" si="6"/>
        <v>53</v>
      </c>
      <c r="P258" s="182"/>
      <c r="Q258" s="182"/>
      <c r="R258" s="183"/>
      <c r="S258" s="182"/>
      <c r="T258" s="182"/>
      <c r="U258" s="47">
        <f t="shared" si="7"/>
        <v>0</v>
      </c>
      <c r="V258" s="182"/>
      <c r="W258" s="182"/>
      <c r="X258" s="182"/>
      <c r="Y258" s="182"/>
      <c r="Z258" s="133"/>
    </row>
    <row r="259">
      <c r="B259" s="53">
        <v>6803945.0</v>
      </c>
      <c r="C259" s="124" t="s">
        <v>554</v>
      </c>
      <c r="D259" s="176" t="s">
        <v>29</v>
      </c>
      <c r="E259" s="177" t="s">
        <v>555</v>
      </c>
      <c r="F259" s="178">
        <f>IFERROR(__xludf.DUMMYFUNCTION("IMPORTRANGE(""https://docs.google.com/spreadsheets/d/14F0mnOF0WZE--9ZM8IXGlHfTDE7lUvjRM8DMPE4taLg/edit?gid=0#gid=0"",""3945!Z2"")"),8.0)</f>
        <v>8</v>
      </c>
      <c r="G259" s="171">
        <f>IFERROR(__xludf.DUMMYFUNCTION("IMPORTRANGE(""https://docs.google.com/spreadsheets/d/1eurEunDb-ysb1pCzsgqDKgU1J0MkfrtwxNJwjUHJpLs/edit?gid=0#gid=0"",""3945!Z2"")"),8.0)</f>
        <v>8</v>
      </c>
      <c r="H259" s="186">
        <f>IFERROR(__xludf.DUMMYFUNCTION("IMPORTRANGE(""https://docs.google.com/spreadsheets/d/1EyFqCuGrfVTzjObzA4vrOWW51hVKTv4iVSlj-F2BIfc/edit?gid=0#gid=0"",""3945!Z2"")"),11.0)</f>
        <v>11</v>
      </c>
      <c r="I259" s="186">
        <f>IFERROR(__xludf.DUMMYFUNCTION("IMPORTRANGE(""https://docs.google.com/spreadsheets/d/1tiL0lGJs8l1FznIlE4Ca1ARpslvtK6kGgBYfzeZoNNw/edit?gid=0#gid=0"",""3945!Z2"")"),0.0)</f>
        <v>0</v>
      </c>
      <c r="J259" s="171">
        <f>IFERROR(__xludf.DUMMYFUNCTION("IMPORTRANGE(""https://docs.google.com/spreadsheets/d/1LLtayRj359azArOKYATkFa1u0XDMGp1Jn4WCUlleQj0/edit?gid=0#gid=0"",""3945!Z2"")"),8.0)</f>
        <v>8</v>
      </c>
      <c r="K259" s="135">
        <f>IFERROR(__xludf.DUMMYFUNCTION("IMPORTRANGE(""https://docs.google.com/spreadsheets/d/1zNDSwhgqj8l6v-2sNXfA_Ku8lX_jir7p8Wt-H2-qw80/edit?gid=0#gid=0"",""3945!Z2"")"),10.0)</f>
        <v>10</v>
      </c>
      <c r="L259" s="135">
        <f>IFERROR(__xludf.DUMMYFUNCTION("IMPORTRANGE(""https://docs.google.com/spreadsheets/d/1mIt5QobWVrxUcfcSVFOfokW2W_VnZZbOpF8I70OE6L8/edit?gid=0#gid=0"",""3945!Z2"")"),8.0)</f>
        <v>8</v>
      </c>
      <c r="M259" s="135">
        <f>IFERROR(__xludf.DUMMYFUNCTION("IMPORTRANGE(""https://docs.google.com/spreadsheets/d/1KuJipsGd1IaAyLNhqUabCsnnVzL27mc7bG4cDVfQr38/edit?gid=0#gid=0"",""3945!Z2"")"),0.0)</f>
        <v>0</v>
      </c>
      <c r="N259" s="183"/>
      <c r="O259" s="181">
        <f t="shared" si="6"/>
        <v>53</v>
      </c>
      <c r="P259" s="182"/>
      <c r="Q259" s="182"/>
      <c r="R259" s="183"/>
      <c r="S259" s="182"/>
      <c r="T259" s="182"/>
      <c r="U259" s="47">
        <f t="shared" si="7"/>
        <v>0</v>
      </c>
      <c r="V259" s="182"/>
      <c r="W259" s="182"/>
      <c r="X259" s="182"/>
      <c r="Y259" s="182"/>
      <c r="Z259" s="133"/>
    </row>
    <row r="260">
      <c r="A260" s="133"/>
      <c r="B260" s="133"/>
      <c r="C260" s="133"/>
      <c r="D260" s="133"/>
      <c r="E260" s="133"/>
      <c r="G260" s="133"/>
      <c r="H260" s="133"/>
      <c r="I260" s="187"/>
      <c r="J260" s="133"/>
      <c r="K260" s="133"/>
      <c r="L260" s="133"/>
      <c r="M260" s="133"/>
      <c r="N260" s="133"/>
      <c r="O260" s="133"/>
      <c r="P260" s="133"/>
      <c r="Q260" s="133"/>
      <c r="R260" s="188"/>
      <c r="S260" s="133"/>
      <c r="T260" s="133"/>
      <c r="U260" s="133"/>
      <c r="V260" s="133"/>
      <c r="W260" s="133"/>
      <c r="X260" s="133"/>
      <c r="Y260" s="133"/>
      <c r="Z260" s="133"/>
    </row>
    <row r="261">
      <c r="A261" s="133"/>
      <c r="B261" s="133"/>
      <c r="C261" s="133"/>
      <c r="D261" s="133"/>
      <c r="E261" s="133"/>
      <c r="F261" s="39"/>
      <c r="G261" s="133"/>
      <c r="H261" s="133"/>
      <c r="I261" s="187"/>
      <c r="J261" s="133"/>
      <c r="K261" s="133"/>
      <c r="L261" s="133"/>
      <c r="M261" s="133"/>
      <c r="N261" s="133"/>
      <c r="O261" s="133"/>
      <c r="P261" s="133"/>
      <c r="Q261" s="133"/>
      <c r="R261" s="188"/>
      <c r="S261" s="133"/>
      <c r="T261" s="133"/>
      <c r="U261" s="133"/>
      <c r="V261" s="133"/>
      <c r="W261" s="133"/>
      <c r="X261" s="133"/>
      <c r="Y261" s="133"/>
      <c r="Z261" s="133"/>
    </row>
    <row r="262">
      <c r="A262" s="133"/>
      <c r="B262" s="133"/>
      <c r="C262" s="133"/>
      <c r="D262" s="133"/>
      <c r="E262" s="133"/>
      <c r="F262" s="39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88"/>
      <c r="S262" s="133"/>
      <c r="T262" s="133"/>
      <c r="U262" s="133"/>
      <c r="V262" s="133"/>
      <c r="W262" s="133"/>
      <c r="X262" s="133"/>
      <c r="Y262" s="133"/>
      <c r="Z262" s="133"/>
    </row>
    <row r="263">
      <c r="A263" s="133"/>
      <c r="B263" s="133"/>
      <c r="C263" s="133"/>
      <c r="D263" s="133"/>
      <c r="E263" s="133"/>
      <c r="F263" s="39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88"/>
      <c r="S263" s="133"/>
      <c r="T263" s="133"/>
      <c r="U263" s="133"/>
      <c r="V263" s="133"/>
      <c r="W263" s="133"/>
      <c r="X263" s="133"/>
      <c r="Y263" s="133"/>
      <c r="Z263" s="133"/>
    </row>
    <row r="264">
      <c r="A264" s="133"/>
      <c r="B264" s="133"/>
      <c r="C264" s="133"/>
      <c r="D264" s="133"/>
      <c r="E264" s="133"/>
      <c r="F264" s="39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88"/>
      <c r="S264" s="133"/>
      <c r="T264" s="133"/>
      <c r="U264" s="133"/>
      <c r="V264" s="133"/>
      <c r="W264" s="133"/>
      <c r="X264" s="133"/>
      <c r="Y264" s="133"/>
      <c r="Z264" s="133"/>
    </row>
    <row r="265">
      <c r="A265" s="133"/>
      <c r="B265" s="133"/>
      <c r="C265" s="133"/>
      <c r="D265" s="133"/>
      <c r="E265" s="133"/>
      <c r="F265" s="39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88"/>
      <c r="S265" s="133"/>
      <c r="T265" s="133"/>
      <c r="U265" s="133"/>
      <c r="V265" s="133"/>
      <c r="W265" s="133"/>
      <c r="X265" s="133"/>
      <c r="Y265" s="133"/>
      <c r="Z265" s="133"/>
    </row>
    <row r="266">
      <c r="A266" s="133"/>
      <c r="B266" s="133"/>
      <c r="C266" s="133"/>
      <c r="D266" s="133"/>
      <c r="E266" s="133"/>
      <c r="F266" s="39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88"/>
      <c r="S266" s="133"/>
      <c r="T266" s="133"/>
      <c r="U266" s="133"/>
      <c r="V266" s="133"/>
      <c r="W266" s="133"/>
      <c r="X266" s="133"/>
      <c r="Y266" s="133"/>
      <c r="Z266" s="133"/>
    </row>
    <row r="267">
      <c r="A267" s="133"/>
      <c r="B267" s="133"/>
      <c r="C267" s="133"/>
      <c r="D267" s="133"/>
      <c r="E267" s="133"/>
      <c r="F267" s="39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88"/>
      <c r="S267" s="133"/>
      <c r="T267" s="133"/>
      <c r="U267" s="133"/>
      <c r="V267" s="133"/>
      <c r="W267" s="133"/>
      <c r="X267" s="133"/>
      <c r="Y267" s="133"/>
      <c r="Z267" s="133"/>
    </row>
    <row r="268">
      <c r="A268" s="133"/>
      <c r="B268" s="133"/>
      <c r="C268" s="133"/>
      <c r="D268" s="133"/>
      <c r="E268" s="133"/>
      <c r="F268" s="39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88"/>
      <c r="S268" s="133"/>
      <c r="T268" s="133"/>
      <c r="U268" s="133"/>
      <c r="V268" s="133"/>
      <c r="W268" s="133"/>
      <c r="X268" s="133"/>
      <c r="Y268" s="133"/>
      <c r="Z268" s="133"/>
    </row>
    <row r="269">
      <c r="A269" s="133"/>
      <c r="B269" s="133"/>
      <c r="C269" s="133"/>
      <c r="D269" s="133"/>
      <c r="E269" s="133"/>
      <c r="F269" s="39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88"/>
      <c r="S269" s="133"/>
      <c r="T269" s="133"/>
      <c r="U269" s="133"/>
      <c r="V269" s="133"/>
      <c r="W269" s="133"/>
      <c r="X269" s="133"/>
      <c r="Y269" s="133"/>
      <c r="Z269" s="133"/>
    </row>
    <row r="270">
      <c r="A270" s="133"/>
      <c r="B270" s="133"/>
      <c r="C270" s="133"/>
      <c r="D270" s="133"/>
      <c r="E270" s="133"/>
      <c r="F270" s="39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88"/>
      <c r="S270" s="133"/>
      <c r="T270" s="133"/>
      <c r="U270" s="133"/>
      <c r="V270" s="133"/>
      <c r="W270" s="133"/>
      <c r="X270" s="133"/>
      <c r="Y270" s="133"/>
      <c r="Z270" s="133"/>
    </row>
    <row r="271">
      <c r="A271" s="133"/>
      <c r="B271" s="133"/>
      <c r="C271" s="133"/>
      <c r="D271" s="133"/>
      <c r="E271" s="133"/>
      <c r="F271" s="39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88"/>
      <c r="S271" s="133"/>
      <c r="T271" s="133"/>
      <c r="U271" s="133"/>
      <c r="V271" s="133"/>
      <c r="W271" s="133"/>
      <c r="X271" s="133"/>
      <c r="Y271" s="133"/>
      <c r="Z271" s="133"/>
    </row>
    <row r="272">
      <c r="A272" s="133"/>
      <c r="B272" s="133"/>
      <c r="C272" s="133"/>
      <c r="D272" s="133"/>
      <c r="E272" s="133"/>
      <c r="F272" s="39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88"/>
      <c r="S272" s="133"/>
      <c r="T272" s="133"/>
      <c r="U272" s="133"/>
      <c r="V272" s="133"/>
      <c r="W272" s="133"/>
      <c r="X272" s="133"/>
      <c r="Y272" s="133"/>
      <c r="Z272" s="133"/>
    </row>
    <row r="273">
      <c r="A273" s="133"/>
      <c r="B273" s="133"/>
      <c r="C273" s="133"/>
      <c r="D273" s="133"/>
      <c r="E273" s="133"/>
      <c r="F273" s="39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88"/>
      <c r="S273" s="133"/>
      <c r="T273" s="133"/>
      <c r="U273" s="133"/>
      <c r="V273" s="133"/>
      <c r="W273" s="133"/>
      <c r="X273" s="133"/>
      <c r="Y273" s="133"/>
      <c r="Z273" s="133"/>
    </row>
    <row r="274">
      <c r="A274" s="133"/>
      <c r="B274" s="133"/>
      <c r="C274" s="133"/>
      <c r="D274" s="133"/>
      <c r="E274" s="133"/>
      <c r="F274" s="39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88"/>
      <c r="S274" s="133"/>
      <c r="T274" s="133"/>
      <c r="U274" s="133"/>
      <c r="V274" s="133"/>
      <c r="W274" s="133"/>
      <c r="X274" s="133"/>
      <c r="Y274" s="133"/>
      <c r="Z274" s="133"/>
    </row>
    <row r="275">
      <c r="A275" s="133"/>
      <c r="B275" s="133"/>
      <c r="C275" s="133"/>
      <c r="D275" s="133"/>
      <c r="E275" s="133"/>
      <c r="F275" s="39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88"/>
      <c r="S275" s="133"/>
      <c r="T275" s="133"/>
      <c r="U275" s="133"/>
      <c r="V275" s="133"/>
      <c r="W275" s="133"/>
      <c r="X275" s="133"/>
      <c r="Y275" s="133"/>
      <c r="Z275" s="133"/>
    </row>
    <row r="276">
      <c r="A276" s="133"/>
      <c r="B276" s="133"/>
      <c r="C276" s="133"/>
      <c r="D276" s="133"/>
      <c r="E276" s="133"/>
      <c r="F276" s="39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88"/>
      <c r="S276" s="133"/>
      <c r="T276" s="133"/>
      <c r="U276" s="133"/>
      <c r="V276" s="133"/>
      <c r="W276" s="133"/>
      <c r="X276" s="133"/>
      <c r="Y276" s="133"/>
      <c r="Z276" s="133"/>
    </row>
    <row r="277">
      <c r="A277" s="133"/>
      <c r="B277" s="133"/>
      <c r="C277" s="133"/>
      <c r="D277" s="133"/>
      <c r="E277" s="133"/>
      <c r="F277" s="39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88"/>
      <c r="S277" s="133"/>
      <c r="T277" s="133"/>
      <c r="U277" s="133"/>
      <c r="V277" s="133"/>
      <c r="W277" s="133"/>
      <c r="X277" s="133"/>
      <c r="Y277" s="133"/>
      <c r="Z277" s="133"/>
    </row>
    <row r="278">
      <c r="A278" s="133"/>
      <c r="B278" s="133"/>
      <c r="C278" s="133"/>
      <c r="D278" s="133"/>
      <c r="E278" s="133"/>
      <c r="F278" s="39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88"/>
      <c r="S278" s="133"/>
      <c r="T278" s="133"/>
      <c r="U278" s="133"/>
      <c r="V278" s="133"/>
      <c r="W278" s="133"/>
      <c r="X278" s="133"/>
      <c r="Y278" s="133"/>
      <c r="Z278" s="133"/>
    </row>
    <row r="279">
      <c r="A279" s="133"/>
      <c r="B279" s="133"/>
      <c r="C279" s="133"/>
      <c r="D279" s="133"/>
      <c r="E279" s="133"/>
      <c r="F279" s="39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88"/>
      <c r="S279" s="133"/>
      <c r="T279" s="133"/>
      <c r="U279" s="133"/>
      <c r="V279" s="133"/>
      <c r="W279" s="133"/>
      <c r="X279" s="133"/>
      <c r="Y279" s="133"/>
      <c r="Z279" s="133"/>
    </row>
    <row r="280">
      <c r="A280" s="133"/>
      <c r="B280" s="133"/>
      <c r="C280" s="133"/>
      <c r="D280" s="133"/>
      <c r="E280" s="133"/>
      <c r="F280" s="39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88"/>
      <c r="S280" s="133"/>
      <c r="T280" s="133"/>
      <c r="U280" s="133"/>
      <c r="V280" s="133"/>
      <c r="W280" s="133"/>
      <c r="X280" s="133"/>
      <c r="Y280" s="133"/>
      <c r="Z280" s="133"/>
    </row>
    <row r="281">
      <c r="A281" s="133"/>
      <c r="B281" s="133"/>
      <c r="C281" s="133"/>
      <c r="D281" s="133"/>
      <c r="E281" s="133"/>
      <c r="F281" s="39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88"/>
      <c r="S281" s="133"/>
      <c r="T281" s="133"/>
      <c r="U281" s="133"/>
      <c r="V281" s="133"/>
      <c r="W281" s="133"/>
      <c r="X281" s="133"/>
      <c r="Y281" s="133"/>
      <c r="Z281" s="133"/>
    </row>
    <row r="282">
      <c r="A282" s="133"/>
      <c r="B282" s="133"/>
      <c r="C282" s="133"/>
      <c r="D282" s="133"/>
      <c r="E282" s="133"/>
      <c r="F282" s="39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88"/>
      <c r="S282" s="133"/>
      <c r="T282" s="133"/>
      <c r="U282" s="133"/>
      <c r="V282" s="133"/>
      <c r="W282" s="133"/>
      <c r="X282" s="133"/>
      <c r="Y282" s="133"/>
      <c r="Z282" s="133"/>
    </row>
    <row r="283">
      <c r="A283" s="133"/>
      <c r="B283" s="133"/>
      <c r="C283" s="133"/>
      <c r="D283" s="133"/>
      <c r="E283" s="133"/>
      <c r="F283" s="39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88"/>
      <c r="S283" s="133"/>
      <c r="T283" s="133"/>
      <c r="U283" s="133"/>
      <c r="V283" s="133"/>
      <c r="W283" s="133"/>
      <c r="X283" s="133"/>
      <c r="Y283" s="133"/>
      <c r="Z283" s="133"/>
    </row>
    <row r="284">
      <c r="A284" s="133"/>
      <c r="B284" s="133"/>
      <c r="C284" s="133"/>
      <c r="D284" s="133"/>
      <c r="E284" s="133"/>
      <c r="F284" s="39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88"/>
      <c r="S284" s="133"/>
      <c r="T284" s="133"/>
      <c r="U284" s="133"/>
      <c r="V284" s="133"/>
      <c r="W284" s="133"/>
      <c r="X284" s="133"/>
      <c r="Y284" s="133"/>
      <c r="Z284" s="133"/>
    </row>
    <row r="285">
      <c r="A285" s="133"/>
      <c r="B285" s="133"/>
      <c r="C285" s="133"/>
      <c r="D285" s="133"/>
      <c r="E285" s="133"/>
      <c r="F285" s="39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88"/>
      <c r="S285" s="133"/>
      <c r="T285" s="133"/>
      <c r="U285" s="133"/>
      <c r="V285" s="133"/>
      <c r="W285" s="133"/>
      <c r="X285" s="133"/>
      <c r="Y285" s="133"/>
      <c r="Z285" s="133"/>
    </row>
    <row r="286">
      <c r="A286" s="133"/>
      <c r="B286" s="133"/>
      <c r="C286" s="133"/>
      <c r="D286" s="133"/>
      <c r="E286" s="133"/>
      <c r="F286" s="39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88"/>
      <c r="S286" s="133"/>
      <c r="T286" s="133"/>
      <c r="U286" s="133"/>
      <c r="V286" s="133"/>
      <c r="W286" s="133"/>
      <c r="X286" s="133"/>
      <c r="Y286" s="133"/>
      <c r="Z286" s="133"/>
    </row>
    <row r="287">
      <c r="A287" s="133"/>
      <c r="B287" s="133"/>
      <c r="C287" s="133"/>
      <c r="D287" s="133"/>
      <c r="E287" s="133"/>
      <c r="F287" s="39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88"/>
      <c r="S287" s="133"/>
      <c r="T287" s="133"/>
      <c r="U287" s="133"/>
      <c r="V287" s="133"/>
      <c r="W287" s="133"/>
      <c r="X287" s="133"/>
      <c r="Y287" s="133"/>
      <c r="Z287" s="133"/>
    </row>
    <row r="288">
      <c r="A288" s="133"/>
      <c r="B288" s="133"/>
      <c r="C288" s="133"/>
      <c r="D288" s="133"/>
      <c r="E288" s="133"/>
      <c r="F288" s="39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88"/>
      <c r="S288" s="133"/>
      <c r="T288" s="133"/>
      <c r="U288" s="133"/>
      <c r="V288" s="133"/>
      <c r="W288" s="133"/>
      <c r="X288" s="133"/>
      <c r="Y288" s="133"/>
      <c r="Z288" s="133"/>
    </row>
    <row r="289">
      <c r="A289" s="133"/>
      <c r="B289" s="133"/>
      <c r="C289" s="133"/>
      <c r="D289" s="133"/>
      <c r="E289" s="133"/>
      <c r="F289" s="39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88"/>
      <c r="S289" s="133"/>
      <c r="T289" s="133"/>
      <c r="U289" s="133"/>
      <c r="V289" s="133"/>
      <c r="W289" s="133"/>
      <c r="X289" s="133"/>
      <c r="Y289" s="133"/>
      <c r="Z289" s="133"/>
    </row>
    <row r="290">
      <c r="A290" s="133"/>
      <c r="B290" s="133"/>
      <c r="C290" s="133"/>
      <c r="D290" s="133"/>
      <c r="E290" s="133"/>
      <c r="F290" s="39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88"/>
      <c r="S290" s="133"/>
      <c r="T290" s="133"/>
      <c r="U290" s="133"/>
      <c r="V290" s="133"/>
      <c r="W290" s="133"/>
      <c r="X290" s="133"/>
      <c r="Y290" s="133"/>
      <c r="Z290" s="133"/>
    </row>
    <row r="291">
      <c r="A291" s="133"/>
      <c r="B291" s="133"/>
      <c r="C291" s="133"/>
      <c r="D291" s="133"/>
      <c r="E291" s="133"/>
      <c r="F291" s="39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88"/>
      <c r="S291" s="133"/>
      <c r="T291" s="133"/>
      <c r="U291" s="133"/>
      <c r="V291" s="133"/>
      <c r="W291" s="133"/>
      <c r="X291" s="133"/>
      <c r="Y291" s="133"/>
      <c r="Z291" s="133"/>
    </row>
    <row r="292">
      <c r="A292" s="133"/>
      <c r="B292" s="133"/>
      <c r="C292" s="133"/>
      <c r="D292" s="133"/>
      <c r="E292" s="133"/>
      <c r="F292" s="39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88"/>
      <c r="S292" s="133"/>
      <c r="T292" s="133"/>
      <c r="U292" s="133"/>
      <c r="V292" s="133"/>
      <c r="W292" s="133"/>
      <c r="X292" s="133"/>
      <c r="Y292" s="133"/>
      <c r="Z292" s="133"/>
    </row>
    <row r="293">
      <c r="A293" s="133"/>
      <c r="B293" s="133"/>
      <c r="C293" s="133"/>
      <c r="D293" s="133"/>
      <c r="E293" s="133"/>
      <c r="F293" s="39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88"/>
      <c r="S293" s="133"/>
      <c r="T293" s="133"/>
      <c r="U293" s="133"/>
      <c r="V293" s="133"/>
      <c r="W293" s="133"/>
      <c r="X293" s="133"/>
      <c r="Y293" s="133"/>
      <c r="Z293" s="133"/>
    </row>
    <row r="294">
      <c r="A294" s="133"/>
      <c r="B294" s="133"/>
      <c r="C294" s="133"/>
      <c r="D294" s="133"/>
      <c r="E294" s="133"/>
      <c r="F294" s="39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88"/>
      <c r="S294" s="133"/>
      <c r="T294" s="133"/>
      <c r="U294" s="133"/>
      <c r="V294" s="133"/>
      <c r="W294" s="133"/>
      <c r="X294" s="133"/>
      <c r="Y294" s="133"/>
      <c r="Z294" s="133"/>
    </row>
    <row r="295">
      <c r="A295" s="133"/>
      <c r="B295" s="133"/>
      <c r="C295" s="133"/>
      <c r="D295" s="133"/>
      <c r="E295" s="133"/>
      <c r="F295" s="39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88"/>
      <c r="S295" s="133"/>
      <c r="T295" s="133"/>
      <c r="U295" s="133"/>
      <c r="V295" s="133"/>
      <c r="W295" s="133"/>
      <c r="X295" s="133"/>
      <c r="Y295" s="133"/>
      <c r="Z295" s="133"/>
    </row>
    <row r="296">
      <c r="A296" s="133"/>
      <c r="B296" s="133"/>
      <c r="C296" s="133"/>
      <c r="D296" s="133"/>
      <c r="E296" s="133"/>
      <c r="F296" s="39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88"/>
      <c r="S296" s="133"/>
      <c r="T296" s="133"/>
      <c r="U296" s="133"/>
      <c r="V296" s="133"/>
      <c r="W296" s="133"/>
      <c r="X296" s="133"/>
      <c r="Y296" s="133"/>
      <c r="Z296" s="133"/>
    </row>
    <row r="297">
      <c r="A297" s="133"/>
      <c r="B297" s="133"/>
      <c r="C297" s="133"/>
      <c r="D297" s="133"/>
      <c r="E297" s="133"/>
      <c r="F297" s="39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88"/>
      <c r="S297" s="133"/>
      <c r="T297" s="133"/>
      <c r="U297" s="133"/>
      <c r="V297" s="133"/>
      <c r="W297" s="133"/>
      <c r="X297" s="133"/>
      <c r="Y297" s="133"/>
      <c r="Z297" s="133"/>
    </row>
    <row r="298">
      <c r="A298" s="133"/>
      <c r="B298" s="133"/>
      <c r="C298" s="133"/>
      <c r="D298" s="133"/>
      <c r="E298" s="133"/>
      <c r="F298" s="39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88"/>
      <c r="S298" s="133"/>
      <c r="T298" s="133"/>
      <c r="U298" s="133"/>
      <c r="V298" s="133"/>
      <c r="W298" s="133"/>
      <c r="X298" s="133"/>
      <c r="Y298" s="133"/>
      <c r="Z298" s="133"/>
    </row>
    <row r="299">
      <c r="A299" s="133"/>
      <c r="B299" s="133"/>
      <c r="C299" s="133"/>
      <c r="D299" s="133"/>
      <c r="E299" s="133"/>
      <c r="F299" s="39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88"/>
      <c r="S299" s="133"/>
      <c r="T299" s="133"/>
      <c r="U299" s="133"/>
      <c r="V299" s="133"/>
      <c r="W299" s="133"/>
      <c r="X299" s="133"/>
      <c r="Y299" s="133"/>
      <c r="Z299" s="133"/>
    </row>
    <row r="300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88"/>
      <c r="S300" s="133"/>
      <c r="T300" s="133"/>
      <c r="U300" s="133"/>
      <c r="V300" s="133"/>
      <c r="W300" s="133"/>
      <c r="X300" s="133"/>
      <c r="Y300" s="133"/>
      <c r="Z300" s="133"/>
    </row>
    <row r="30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88"/>
      <c r="S301" s="133"/>
      <c r="T301" s="133"/>
      <c r="U301" s="133"/>
      <c r="V301" s="133"/>
      <c r="W301" s="133"/>
      <c r="X301" s="133"/>
      <c r="Y301" s="133"/>
      <c r="Z301" s="133"/>
    </row>
    <row r="302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88"/>
      <c r="S302" s="133"/>
      <c r="T302" s="133"/>
      <c r="U302" s="133"/>
      <c r="V302" s="133"/>
      <c r="W302" s="133"/>
      <c r="X302" s="133"/>
      <c r="Y302" s="133"/>
      <c r="Z302" s="133"/>
    </row>
    <row r="303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88"/>
      <c r="S303" s="133"/>
      <c r="T303" s="133"/>
      <c r="U303" s="133"/>
      <c r="V303" s="133"/>
      <c r="W303" s="133"/>
      <c r="X303" s="133"/>
      <c r="Y303" s="133"/>
      <c r="Z303" s="133"/>
    </row>
    <row r="304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88"/>
      <c r="S304" s="133"/>
      <c r="T304" s="133"/>
      <c r="U304" s="133"/>
      <c r="V304" s="133"/>
      <c r="W304" s="133"/>
      <c r="X304" s="133"/>
      <c r="Y304" s="133"/>
      <c r="Z304" s="133"/>
    </row>
    <row r="305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88"/>
      <c r="S305" s="133"/>
      <c r="T305" s="133"/>
      <c r="U305" s="133"/>
      <c r="V305" s="133"/>
      <c r="W305" s="133"/>
      <c r="X305" s="133"/>
      <c r="Y305" s="133"/>
      <c r="Z305" s="133"/>
    </row>
    <row r="306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88"/>
      <c r="S306" s="133"/>
      <c r="T306" s="133"/>
      <c r="U306" s="133"/>
      <c r="V306" s="133"/>
      <c r="W306" s="133"/>
      <c r="X306" s="133"/>
      <c r="Y306" s="133"/>
      <c r="Z306" s="133"/>
    </row>
    <row r="307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88"/>
      <c r="S307" s="133"/>
      <c r="T307" s="133"/>
      <c r="U307" s="133"/>
      <c r="V307" s="133"/>
      <c r="W307" s="133"/>
      <c r="X307" s="133"/>
      <c r="Y307" s="133"/>
      <c r="Z307" s="133"/>
    </row>
    <row r="308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88"/>
      <c r="S308" s="133"/>
      <c r="T308" s="133"/>
      <c r="U308" s="133"/>
      <c r="V308" s="133"/>
      <c r="W308" s="133"/>
      <c r="X308" s="133"/>
      <c r="Y308" s="133"/>
      <c r="Z308" s="133"/>
    </row>
    <row r="309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88"/>
      <c r="S309" s="133"/>
      <c r="T309" s="133"/>
      <c r="U309" s="133"/>
      <c r="V309" s="133"/>
      <c r="W309" s="133"/>
      <c r="X309" s="133"/>
      <c r="Y309" s="133"/>
      <c r="Z309" s="133"/>
    </row>
    <row r="310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88"/>
      <c r="S310" s="133"/>
      <c r="T310" s="133"/>
      <c r="U310" s="133"/>
      <c r="V310" s="133"/>
      <c r="W310" s="133"/>
      <c r="X310" s="133"/>
      <c r="Y310" s="133"/>
      <c r="Z310" s="133"/>
    </row>
    <row r="31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88"/>
      <c r="S311" s="133"/>
      <c r="T311" s="133"/>
      <c r="U311" s="133"/>
      <c r="V311" s="133"/>
      <c r="W311" s="133"/>
      <c r="X311" s="133"/>
      <c r="Y311" s="133"/>
      <c r="Z311" s="133"/>
    </row>
    <row r="312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88"/>
      <c r="S312" s="133"/>
      <c r="T312" s="133"/>
      <c r="U312" s="133"/>
      <c r="V312" s="133"/>
      <c r="W312" s="133"/>
      <c r="X312" s="133"/>
      <c r="Y312" s="133"/>
      <c r="Z312" s="133"/>
    </row>
    <row r="313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88"/>
      <c r="S313" s="133"/>
      <c r="T313" s="133"/>
      <c r="U313" s="133"/>
      <c r="V313" s="133"/>
      <c r="W313" s="133"/>
      <c r="X313" s="133"/>
      <c r="Y313" s="133"/>
      <c r="Z313" s="133"/>
    </row>
    <row r="314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88"/>
      <c r="S314" s="133"/>
      <c r="T314" s="133"/>
      <c r="U314" s="133"/>
      <c r="V314" s="133"/>
      <c r="W314" s="133"/>
      <c r="X314" s="133"/>
      <c r="Y314" s="133"/>
      <c r="Z314" s="133"/>
    </row>
    <row r="315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88"/>
      <c r="S315" s="133"/>
      <c r="T315" s="133"/>
      <c r="U315" s="133"/>
      <c r="V315" s="133"/>
      <c r="W315" s="133"/>
      <c r="X315" s="133"/>
      <c r="Y315" s="133"/>
      <c r="Z315" s="133"/>
    </row>
    <row r="316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88"/>
      <c r="S316" s="133"/>
      <c r="T316" s="133"/>
      <c r="U316" s="133"/>
      <c r="V316" s="133"/>
      <c r="W316" s="133"/>
      <c r="X316" s="133"/>
      <c r="Y316" s="133"/>
      <c r="Z316" s="133"/>
    </row>
    <row r="317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88"/>
      <c r="S317" s="133"/>
      <c r="T317" s="133"/>
      <c r="U317" s="133"/>
      <c r="V317" s="133"/>
      <c r="W317" s="133"/>
      <c r="X317" s="133"/>
      <c r="Y317" s="133"/>
      <c r="Z317" s="133"/>
    </row>
    <row r="318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88"/>
      <c r="S318" s="133"/>
      <c r="T318" s="133"/>
      <c r="U318" s="133"/>
      <c r="V318" s="133"/>
      <c r="W318" s="133"/>
      <c r="X318" s="133"/>
      <c r="Y318" s="133"/>
      <c r="Z318" s="133"/>
    </row>
    <row r="319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88"/>
      <c r="S319" s="133"/>
      <c r="T319" s="133"/>
      <c r="U319" s="133"/>
      <c r="V319" s="133"/>
      <c r="W319" s="133"/>
      <c r="X319" s="133"/>
      <c r="Y319" s="133"/>
      <c r="Z319" s="133"/>
    </row>
    <row r="320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88"/>
      <c r="S320" s="133"/>
      <c r="T320" s="133"/>
      <c r="U320" s="133"/>
      <c r="V320" s="133"/>
      <c r="W320" s="133"/>
      <c r="X320" s="133"/>
      <c r="Y320" s="133"/>
      <c r="Z320" s="133"/>
    </row>
    <row r="32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88"/>
      <c r="S321" s="133"/>
      <c r="T321" s="133"/>
      <c r="U321" s="133"/>
      <c r="V321" s="133"/>
      <c r="W321" s="133"/>
      <c r="X321" s="133"/>
      <c r="Y321" s="133"/>
      <c r="Z321" s="133"/>
    </row>
    <row r="322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88"/>
      <c r="S322" s="133"/>
      <c r="T322" s="133"/>
      <c r="U322" s="133"/>
      <c r="V322" s="133"/>
      <c r="W322" s="133"/>
      <c r="X322" s="133"/>
      <c r="Y322" s="133"/>
      <c r="Z322" s="133"/>
    </row>
    <row r="323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88"/>
      <c r="S323" s="133"/>
      <c r="T323" s="133"/>
      <c r="U323" s="133"/>
      <c r="V323" s="133"/>
      <c r="W323" s="133"/>
      <c r="X323" s="133"/>
      <c r="Y323" s="133"/>
      <c r="Z323" s="133"/>
    </row>
    <row r="324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88"/>
      <c r="S324" s="133"/>
      <c r="T324" s="133"/>
      <c r="U324" s="133"/>
      <c r="V324" s="133"/>
      <c r="W324" s="133"/>
      <c r="X324" s="133"/>
      <c r="Y324" s="133"/>
      <c r="Z324" s="133"/>
    </row>
    <row r="325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88"/>
      <c r="S325" s="133"/>
      <c r="T325" s="133"/>
      <c r="U325" s="133"/>
      <c r="V325" s="133"/>
      <c r="W325" s="133"/>
      <c r="X325" s="133"/>
      <c r="Y325" s="133"/>
      <c r="Z325" s="133"/>
    </row>
    <row r="326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88"/>
      <c r="S326" s="133"/>
      <c r="T326" s="133"/>
      <c r="U326" s="133"/>
      <c r="V326" s="133"/>
      <c r="W326" s="133"/>
      <c r="X326" s="133"/>
      <c r="Y326" s="133"/>
      <c r="Z326" s="133"/>
    </row>
    <row r="327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88"/>
      <c r="S327" s="133"/>
      <c r="T327" s="133"/>
      <c r="U327" s="133"/>
      <c r="V327" s="133"/>
      <c r="W327" s="133"/>
      <c r="X327" s="133"/>
      <c r="Y327" s="133"/>
      <c r="Z327" s="133"/>
    </row>
    <row r="328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88"/>
      <c r="S328" s="133"/>
      <c r="T328" s="133"/>
      <c r="U328" s="133"/>
      <c r="V328" s="133"/>
      <c r="W328" s="133"/>
      <c r="X328" s="133"/>
      <c r="Y328" s="133"/>
      <c r="Z328" s="133"/>
    </row>
    <row r="329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88"/>
      <c r="S329" s="133"/>
      <c r="T329" s="133"/>
      <c r="U329" s="133"/>
      <c r="V329" s="133"/>
      <c r="W329" s="133"/>
      <c r="X329" s="133"/>
      <c r="Y329" s="133"/>
      <c r="Z329" s="133"/>
    </row>
    <row r="330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88"/>
      <c r="S330" s="133"/>
      <c r="T330" s="133"/>
      <c r="U330" s="133"/>
      <c r="V330" s="133"/>
      <c r="W330" s="133"/>
      <c r="X330" s="133"/>
      <c r="Y330" s="133"/>
      <c r="Z330" s="133"/>
    </row>
    <row r="33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88"/>
      <c r="S331" s="133"/>
      <c r="T331" s="133"/>
      <c r="U331" s="133"/>
      <c r="V331" s="133"/>
      <c r="W331" s="133"/>
      <c r="X331" s="133"/>
      <c r="Y331" s="133"/>
      <c r="Z331" s="133"/>
    </row>
    <row r="332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88"/>
      <c r="S332" s="133"/>
      <c r="T332" s="133"/>
      <c r="U332" s="133"/>
      <c r="V332" s="133"/>
      <c r="W332" s="133"/>
      <c r="X332" s="133"/>
      <c r="Y332" s="133"/>
      <c r="Z332" s="133"/>
    </row>
    <row r="333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88"/>
      <c r="S333" s="133"/>
      <c r="T333" s="133"/>
      <c r="U333" s="133"/>
      <c r="V333" s="133"/>
      <c r="W333" s="133"/>
      <c r="X333" s="133"/>
      <c r="Y333" s="133"/>
      <c r="Z333" s="133"/>
    </row>
    <row r="334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88"/>
      <c r="S334" s="133"/>
      <c r="T334" s="133"/>
      <c r="U334" s="133"/>
      <c r="V334" s="133"/>
      <c r="W334" s="133"/>
      <c r="X334" s="133"/>
      <c r="Y334" s="133"/>
      <c r="Z334" s="133"/>
    </row>
    <row r="335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88"/>
      <c r="S335" s="133"/>
      <c r="T335" s="133"/>
      <c r="U335" s="133"/>
      <c r="V335" s="133"/>
      <c r="W335" s="133"/>
      <c r="X335" s="133"/>
      <c r="Y335" s="133"/>
      <c r="Z335" s="133"/>
    </row>
    <row r="336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88"/>
      <c r="S336" s="133"/>
      <c r="T336" s="133"/>
      <c r="U336" s="133"/>
      <c r="V336" s="133"/>
      <c r="W336" s="133"/>
      <c r="X336" s="133"/>
      <c r="Y336" s="133"/>
      <c r="Z336" s="133"/>
    </row>
    <row r="337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88"/>
      <c r="S337" s="133"/>
      <c r="T337" s="133"/>
      <c r="U337" s="133"/>
      <c r="V337" s="133"/>
      <c r="W337" s="133"/>
      <c r="X337" s="133"/>
      <c r="Y337" s="133"/>
      <c r="Z337" s="133"/>
    </row>
    <row r="338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88"/>
      <c r="S338" s="133"/>
      <c r="T338" s="133"/>
      <c r="U338" s="133"/>
      <c r="V338" s="133"/>
      <c r="W338" s="133"/>
      <c r="X338" s="133"/>
      <c r="Y338" s="133"/>
      <c r="Z338" s="133"/>
    </row>
    <row r="339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88"/>
      <c r="S339" s="133"/>
      <c r="T339" s="133"/>
      <c r="U339" s="133"/>
      <c r="V339" s="133"/>
      <c r="W339" s="133"/>
      <c r="X339" s="133"/>
      <c r="Y339" s="133"/>
      <c r="Z339" s="133"/>
    </row>
    <row r="340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88"/>
      <c r="S340" s="133"/>
      <c r="T340" s="133"/>
      <c r="U340" s="133"/>
      <c r="V340" s="133"/>
      <c r="W340" s="133"/>
      <c r="X340" s="133"/>
      <c r="Y340" s="133"/>
      <c r="Z340" s="133"/>
    </row>
    <row r="34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88"/>
      <c r="S341" s="133"/>
      <c r="T341" s="133"/>
      <c r="U341" s="133"/>
      <c r="V341" s="133"/>
      <c r="W341" s="133"/>
      <c r="X341" s="133"/>
      <c r="Y341" s="133"/>
      <c r="Z341" s="133"/>
    </row>
    <row r="342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88"/>
      <c r="S342" s="133"/>
      <c r="T342" s="133"/>
      <c r="U342" s="133"/>
      <c r="V342" s="133"/>
      <c r="W342" s="133"/>
      <c r="X342" s="133"/>
      <c r="Y342" s="133"/>
      <c r="Z342" s="133"/>
    </row>
    <row r="343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88"/>
      <c r="S343" s="133"/>
      <c r="T343" s="133"/>
      <c r="U343" s="133"/>
      <c r="V343" s="133"/>
      <c r="W343" s="133"/>
      <c r="X343" s="133"/>
      <c r="Y343" s="133"/>
      <c r="Z343" s="133"/>
    </row>
    <row r="344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88"/>
      <c r="S344" s="133"/>
      <c r="T344" s="133"/>
      <c r="U344" s="133"/>
      <c r="V344" s="133"/>
      <c r="W344" s="133"/>
      <c r="X344" s="133"/>
      <c r="Y344" s="133"/>
      <c r="Z344" s="133"/>
    </row>
    <row r="345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88"/>
      <c r="S345" s="133"/>
      <c r="T345" s="133"/>
      <c r="U345" s="133"/>
      <c r="V345" s="133"/>
      <c r="W345" s="133"/>
      <c r="X345" s="133"/>
      <c r="Y345" s="133"/>
      <c r="Z345" s="133"/>
    </row>
    <row r="346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88"/>
      <c r="S346" s="133"/>
      <c r="T346" s="133"/>
      <c r="U346" s="133"/>
      <c r="V346" s="133"/>
      <c r="W346" s="133"/>
      <c r="X346" s="133"/>
      <c r="Y346" s="133"/>
      <c r="Z346" s="133"/>
    </row>
    <row r="347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88"/>
      <c r="S347" s="133"/>
      <c r="T347" s="133"/>
      <c r="U347" s="133"/>
      <c r="V347" s="133"/>
      <c r="W347" s="133"/>
      <c r="X347" s="133"/>
      <c r="Y347" s="133"/>
      <c r="Z347" s="133"/>
    </row>
    <row r="348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88"/>
      <c r="S348" s="133"/>
      <c r="T348" s="133"/>
      <c r="U348" s="133"/>
      <c r="V348" s="133"/>
      <c r="W348" s="133"/>
      <c r="X348" s="133"/>
      <c r="Y348" s="133"/>
      <c r="Z348" s="133"/>
    </row>
    <row r="349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88"/>
      <c r="S349" s="133"/>
      <c r="T349" s="133"/>
      <c r="U349" s="133"/>
      <c r="V349" s="133"/>
      <c r="W349" s="133"/>
      <c r="X349" s="133"/>
      <c r="Y349" s="133"/>
      <c r="Z349" s="133"/>
    </row>
    <row r="350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88"/>
      <c r="S350" s="133"/>
      <c r="T350" s="133"/>
      <c r="U350" s="133"/>
      <c r="V350" s="133"/>
      <c r="W350" s="133"/>
      <c r="X350" s="133"/>
      <c r="Y350" s="133"/>
      <c r="Z350" s="133"/>
    </row>
    <row r="35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88"/>
      <c r="S351" s="133"/>
      <c r="T351" s="133"/>
      <c r="U351" s="133"/>
      <c r="V351" s="133"/>
      <c r="W351" s="133"/>
      <c r="X351" s="133"/>
      <c r="Y351" s="133"/>
      <c r="Z351" s="133"/>
    </row>
    <row r="352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88"/>
      <c r="S352" s="133"/>
      <c r="T352" s="133"/>
      <c r="U352" s="133"/>
      <c r="V352" s="133"/>
      <c r="W352" s="133"/>
      <c r="X352" s="133"/>
      <c r="Y352" s="133"/>
      <c r="Z352" s="133"/>
    </row>
    <row r="353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88"/>
      <c r="S353" s="133"/>
      <c r="T353" s="133"/>
      <c r="U353" s="133"/>
      <c r="V353" s="133"/>
      <c r="W353" s="133"/>
      <c r="X353" s="133"/>
      <c r="Y353" s="133"/>
      <c r="Z353" s="133"/>
    </row>
    <row r="354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88"/>
      <c r="S354" s="133"/>
      <c r="T354" s="133"/>
      <c r="U354" s="133"/>
      <c r="V354" s="133"/>
      <c r="W354" s="133"/>
      <c r="X354" s="133"/>
      <c r="Y354" s="133"/>
      <c r="Z354" s="133"/>
    </row>
    <row r="355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88"/>
      <c r="S355" s="133"/>
      <c r="T355" s="133"/>
      <c r="U355" s="133"/>
      <c r="V355" s="133"/>
      <c r="W355" s="133"/>
      <c r="X355" s="133"/>
      <c r="Y355" s="133"/>
      <c r="Z355" s="133"/>
    </row>
    <row r="356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88"/>
      <c r="S356" s="133"/>
      <c r="T356" s="133"/>
      <c r="U356" s="133"/>
      <c r="V356" s="133"/>
      <c r="W356" s="133"/>
      <c r="X356" s="133"/>
      <c r="Y356" s="133"/>
      <c r="Z356" s="133"/>
    </row>
    <row r="357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88"/>
      <c r="S357" s="133"/>
      <c r="T357" s="133"/>
      <c r="U357" s="133"/>
      <c r="V357" s="133"/>
      <c r="W357" s="133"/>
      <c r="X357" s="133"/>
      <c r="Y357" s="133"/>
      <c r="Z357" s="133"/>
    </row>
    <row r="358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88"/>
      <c r="S358" s="133"/>
      <c r="T358" s="133"/>
      <c r="U358" s="133"/>
      <c r="V358" s="133"/>
      <c r="W358" s="133"/>
      <c r="X358" s="133"/>
      <c r="Y358" s="133"/>
      <c r="Z358" s="133"/>
    </row>
    <row r="359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88"/>
      <c r="S359" s="133"/>
      <c r="T359" s="133"/>
      <c r="U359" s="133"/>
      <c r="V359" s="133"/>
      <c r="W359" s="133"/>
      <c r="X359" s="133"/>
      <c r="Y359" s="133"/>
      <c r="Z359" s="133"/>
    </row>
    <row r="360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88"/>
      <c r="S360" s="133"/>
      <c r="T360" s="133"/>
      <c r="U360" s="133"/>
      <c r="V360" s="133"/>
      <c r="W360" s="133"/>
      <c r="X360" s="133"/>
      <c r="Y360" s="133"/>
      <c r="Z360" s="133"/>
    </row>
    <row r="36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88"/>
      <c r="S361" s="133"/>
      <c r="T361" s="133"/>
      <c r="U361" s="133"/>
      <c r="V361" s="133"/>
      <c r="W361" s="133"/>
      <c r="X361" s="133"/>
      <c r="Y361" s="133"/>
      <c r="Z361" s="133"/>
    </row>
    <row r="362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88"/>
      <c r="S362" s="133"/>
      <c r="T362" s="133"/>
      <c r="U362" s="133"/>
      <c r="V362" s="133"/>
      <c r="W362" s="133"/>
      <c r="X362" s="133"/>
      <c r="Y362" s="133"/>
      <c r="Z362" s="133"/>
    </row>
    <row r="363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88"/>
      <c r="S363" s="133"/>
      <c r="T363" s="133"/>
      <c r="U363" s="133"/>
      <c r="V363" s="133"/>
      <c r="W363" s="133"/>
      <c r="X363" s="133"/>
      <c r="Y363" s="133"/>
      <c r="Z363" s="133"/>
    </row>
    <row r="364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88"/>
      <c r="S364" s="133"/>
      <c r="T364" s="133"/>
      <c r="U364" s="133"/>
      <c r="V364" s="133"/>
      <c r="W364" s="133"/>
      <c r="X364" s="133"/>
      <c r="Y364" s="133"/>
      <c r="Z364" s="133"/>
    </row>
    <row r="365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88"/>
      <c r="S365" s="133"/>
      <c r="T365" s="133"/>
      <c r="U365" s="133"/>
      <c r="V365" s="133"/>
      <c r="W365" s="133"/>
      <c r="X365" s="133"/>
      <c r="Y365" s="133"/>
      <c r="Z365" s="133"/>
    </row>
    <row r="366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88"/>
      <c r="S366" s="133"/>
      <c r="T366" s="133"/>
      <c r="U366" s="133"/>
      <c r="V366" s="133"/>
      <c r="W366" s="133"/>
      <c r="X366" s="133"/>
      <c r="Y366" s="133"/>
      <c r="Z366" s="133"/>
    </row>
    <row r="367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88"/>
      <c r="S367" s="133"/>
      <c r="T367" s="133"/>
      <c r="U367" s="133"/>
      <c r="V367" s="133"/>
      <c r="W367" s="133"/>
      <c r="X367" s="133"/>
      <c r="Y367" s="133"/>
      <c r="Z367" s="133"/>
    </row>
    <row r="368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88"/>
      <c r="S368" s="133"/>
      <c r="T368" s="133"/>
      <c r="U368" s="133"/>
      <c r="V368" s="133"/>
      <c r="W368" s="133"/>
      <c r="X368" s="133"/>
      <c r="Y368" s="133"/>
      <c r="Z368" s="133"/>
    </row>
    <row r="369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88"/>
      <c r="S369" s="133"/>
      <c r="T369" s="133"/>
      <c r="U369" s="133"/>
      <c r="V369" s="133"/>
      <c r="W369" s="133"/>
      <c r="X369" s="133"/>
      <c r="Y369" s="133"/>
      <c r="Z369" s="133"/>
    </row>
    <row r="370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88"/>
      <c r="S370" s="133"/>
      <c r="T370" s="133"/>
      <c r="U370" s="133"/>
      <c r="V370" s="133"/>
      <c r="W370" s="133"/>
      <c r="X370" s="133"/>
      <c r="Y370" s="133"/>
      <c r="Z370" s="133"/>
    </row>
    <row r="37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88"/>
      <c r="S371" s="133"/>
      <c r="T371" s="133"/>
      <c r="U371" s="133"/>
      <c r="V371" s="133"/>
      <c r="W371" s="133"/>
      <c r="X371" s="133"/>
      <c r="Y371" s="133"/>
      <c r="Z371" s="133"/>
    </row>
    <row r="372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88"/>
      <c r="S372" s="133"/>
      <c r="T372" s="133"/>
      <c r="U372" s="133"/>
      <c r="V372" s="133"/>
      <c r="W372" s="133"/>
      <c r="X372" s="133"/>
      <c r="Y372" s="133"/>
      <c r="Z372" s="133"/>
    </row>
    <row r="373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88"/>
      <c r="S373" s="133"/>
      <c r="T373" s="133"/>
      <c r="U373" s="133"/>
      <c r="V373" s="133"/>
      <c r="W373" s="133"/>
      <c r="X373" s="133"/>
      <c r="Y373" s="133"/>
      <c r="Z373" s="133"/>
    </row>
    <row r="374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88"/>
      <c r="S374" s="133"/>
      <c r="T374" s="133"/>
      <c r="U374" s="133"/>
      <c r="V374" s="133"/>
      <c r="W374" s="133"/>
      <c r="X374" s="133"/>
      <c r="Y374" s="133"/>
      <c r="Z374" s="133"/>
    </row>
    <row r="375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88"/>
      <c r="S375" s="133"/>
      <c r="T375" s="133"/>
      <c r="U375" s="133"/>
      <c r="V375" s="133"/>
      <c r="W375" s="133"/>
      <c r="X375" s="133"/>
      <c r="Y375" s="133"/>
      <c r="Z375" s="133"/>
    </row>
    <row r="376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88"/>
      <c r="S376" s="133"/>
      <c r="T376" s="133"/>
      <c r="U376" s="133"/>
      <c r="V376" s="133"/>
      <c r="W376" s="133"/>
      <c r="X376" s="133"/>
      <c r="Y376" s="133"/>
      <c r="Z376" s="133"/>
    </row>
    <row r="377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88"/>
      <c r="S377" s="133"/>
      <c r="T377" s="133"/>
      <c r="U377" s="133"/>
      <c r="V377" s="133"/>
      <c r="W377" s="133"/>
      <c r="X377" s="133"/>
      <c r="Y377" s="133"/>
      <c r="Z377" s="133"/>
    </row>
    <row r="378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88"/>
      <c r="S378" s="133"/>
      <c r="T378" s="133"/>
      <c r="U378" s="133"/>
      <c r="V378" s="133"/>
      <c r="W378" s="133"/>
      <c r="X378" s="133"/>
      <c r="Y378" s="133"/>
      <c r="Z378" s="133"/>
    </row>
    <row r="379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88"/>
      <c r="S379" s="133"/>
      <c r="T379" s="133"/>
      <c r="U379" s="133"/>
      <c r="V379" s="133"/>
      <c r="W379" s="133"/>
      <c r="X379" s="133"/>
      <c r="Y379" s="133"/>
      <c r="Z379" s="133"/>
    </row>
    <row r="380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88"/>
      <c r="S380" s="133"/>
      <c r="T380" s="133"/>
      <c r="U380" s="133"/>
      <c r="V380" s="133"/>
      <c r="W380" s="133"/>
      <c r="X380" s="133"/>
      <c r="Y380" s="133"/>
      <c r="Z380" s="133"/>
    </row>
    <row r="38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88"/>
      <c r="S381" s="133"/>
      <c r="T381" s="133"/>
      <c r="U381" s="133"/>
      <c r="V381" s="133"/>
      <c r="W381" s="133"/>
      <c r="X381" s="133"/>
      <c r="Y381" s="133"/>
      <c r="Z381" s="133"/>
    </row>
    <row r="382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88"/>
      <c r="S382" s="133"/>
      <c r="T382" s="133"/>
      <c r="U382" s="133"/>
      <c r="V382" s="133"/>
      <c r="W382" s="133"/>
      <c r="X382" s="133"/>
      <c r="Y382" s="133"/>
      <c r="Z382" s="133"/>
    </row>
    <row r="383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88"/>
      <c r="S383" s="133"/>
      <c r="T383" s="133"/>
      <c r="U383" s="133"/>
      <c r="V383" s="133"/>
      <c r="W383" s="133"/>
      <c r="X383" s="133"/>
      <c r="Y383" s="133"/>
      <c r="Z383" s="133"/>
    </row>
    <row r="384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88"/>
      <c r="S384" s="133"/>
      <c r="T384" s="133"/>
      <c r="U384" s="133"/>
      <c r="V384" s="133"/>
      <c r="W384" s="133"/>
      <c r="X384" s="133"/>
      <c r="Y384" s="133"/>
      <c r="Z384" s="133"/>
    </row>
    <row r="385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88"/>
      <c r="S385" s="133"/>
      <c r="T385" s="133"/>
      <c r="U385" s="133"/>
      <c r="V385" s="133"/>
      <c r="W385" s="133"/>
      <c r="X385" s="133"/>
      <c r="Y385" s="133"/>
      <c r="Z385" s="133"/>
    </row>
    <row r="386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88"/>
      <c r="S386" s="133"/>
      <c r="T386" s="133"/>
      <c r="U386" s="133"/>
      <c r="V386" s="133"/>
      <c r="W386" s="133"/>
      <c r="X386" s="133"/>
      <c r="Y386" s="133"/>
      <c r="Z386" s="133"/>
    </row>
    <row r="387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88"/>
      <c r="S387" s="133"/>
      <c r="T387" s="133"/>
      <c r="U387" s="133"/>
      <c r="V387" s="133"/>
      <c r="W387" s="133"/>
      <c r="X387" s="133"/>
      <c r="Y387" s="133"/>
      <c r="Z387" s="133"/>
    </row>
    <row r="388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88"/>
      <c r="S388" s="133"/>
      <c r="T388" s="133"/>
      <c r="U388" s="133"/>
      <c r="V388" s="133"/>
      <c r="W388" s="133"/>
      <c r="X388" s="133"/>
      <c r="Y388" s="133"/>
      <c r="Z388" s="133"/>
    </row>
    <row r="389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88"/>
      <c r="S389" s="133"/>
      <c r="T389" s="133"/>
      <c r="U389" s="133"/>
      <c r="V389" s="133"/>
      <c r="W389" s="133"/>
      <c r="X389" s="133"/>
      <c r="Y389" s="133"/>
      <c r="Z389" s="133"/>
    </row>
    <row r="390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88"/>
      <c r="S390" s="133"/>
      <c r="T390" s="133"/>
      <c r="U390" s="133"/>
      <c r="V390" s="133"/>
      <c r="W390" s="133"/>
      <c r="X390" s="133"/>
      <c r="Y390" s="133"/>
      <c r="Z390" s="133"/>
    </row>
    <row r="39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88"/>
      <c r="S391" s="133"/>
      <c r="T391" s="133"/>
      <c r="U391" s="133"/>
      <c r="V391" s="133"/>
      <c r="W391" s="133"/>
      <c r="X391" s="133"/>
      <c r="Y391" s="133"/>
      <c r="Z391" s="133"/>
    </row>
    <row r="392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88"/>
      <c r="S392" s="133"/>
      <c r="T392" s="133"/>
      <c r="U392" s="133"/>
      <c r="V392" s="133"/>
      <c r="W392" s="133"/>
      <c r="X392" s="133"/>
      <c r="Y392" s="133"/>
      <c r="Z392" s="133"/>
    </row>
    <row r="393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88"/>
      <c r="S393" s="133"/>
      <c r="T393" s="133"/>
      <c r="U393" s="133"/>
      <c r="V393" s="133"/>
      <c r="W393" s="133"/>
      <c r="X393" s="133"/>
      <c r="Y393" s="133"/>
      <c r="Z393" s="133"/>
    </row>
    <row r="394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88"/>
      <c r="S394" s="133"/>
      <c r="T394" s="133"/>
      <c r="U394" s="133"/>
      <c r="V394" s="133"/>
      <c r="W394" s="133"/>
      <c r="X394" s="133"/>
      <c r="Y394" s="133"/>
      <c r="Z394" s="133"/>
    </row>
    <row r="395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88"/>
      <c r="S395" s="133"/>
      <c r="T395" s="133"/>
      <c r="U395" s="133"/>
      <c r="V395" s="133"/>
      <c r="W395" s="133"/>
      <c r="X395" s="133"/>
      <c r="Y395" s="133"/>
      <c r="Z395" s="133"/>
    </row>
    <row r="396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88"/>
      <c r="S396" s="133"/>
      <c r="T396" s="133"/>
      <c r="U396" s="133"/>
      <c r="V396" s="133"/>
      <c r="W396" s="133"/>
      <c r="X396" s="133"/>
      <c r="Y396" s="133"/>
      <c r="Z396" s="133"/>
    </row>
    <row r="397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88"/>
      <c r="S397" s="133"/>
      <c r="T397" s="133"/>
      <c r="U397" s="133"/>
      <c r="V397" s="133"/>
      <c r="W397" s="133"/>
      <c r="X397" s="133"/>
      <c r="Y397" s="133"/>
      <c r="Z397" s="133"/>
    </row>
    <row r="398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88"/>
      <c r="S398" s="133"/>
      <c r="T398" s="133"/>
      <c r="U398" s="133"/>
      <c r="V398" s="133"/>
      <c r="W398" s="133"/>
      <c r="X398" s="133"/>
      <c r="Y398" s="133"/>
      <c r="Z398" s="133"/>
    </row>
    <row r="399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88"/>
      <c r="S399" s="133"/>
      <c r="T399" s="133"/>
      <c r="U399" s="133"/>
      <c r="V399" s="133"/>
      <c r="W399" s="133"/>
      <c r="X399" s="133"/>
      <c r="Y399" s="133"/>
      <c r="Z399" s="133"/>
    </row>
    <row r="400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88"/>
      <c r="S400" s="133"/>
      <c r="T400" s="133"/>
      <c r="U400" s="133"/>
      <c r="V400" s="133"/>
      <c r="W400" s="133"/>
      <c r="X400" s="133"/>
      <c r="Y400" s="133"/>
      <c r="Z400" s="133"/>
    </row>
    <row r="40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88"/>
      <c r="S401" s="133"/>
      <c r="T401" s="133"/>
      <c r="U401" s="133"/>
      <c r="V401" s="133"/>
      <c r="W401" s="133"/>
      <c r="X401" s="133"/>
      <c r="Y401" s="133"/>
      <c r="Z401" s="133"/>
    </row>
    <row r="402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88"/>
      <c r="S402" s="133"/>
      <c r="T402" s="133"/>
      <c r="U402" s="133"/>
      <c r="V402" s="133"/>
      <c r="W402" s="133"/>
      <c r="X402" s="133"/>
      <c r="Y402" s="133"/>
      <c r="Z402" s="133"/>
    </row>
    <row r="403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88"/>
      <c r="S403" s="133"/>
      <c r="T403" s="133"/>
      <c r="U403" s="133"/>
      <c r="V403" s="133"/>
      <c r="W403" s="133"/>
      <c r="X403" s="133"/>
      <c r="Y403" s="133"/>
      <c r="Z403" s="133"/>
    </row>
    <row r="404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88"/>
      <c r="S404" s="133"/>
      <c r="T404" s="133"/>
      <c r="U404" s="133"/>
      <c r="V404" s="133"/>
      <c r="W404" s="133"/>
      <c r="X404" s="133"/>
      <c r="Y404" s="133"/>
      <c r="Z404" s="133"/>
    </row>
    <row r="405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88"/>
      <c r="S405" s="133"/>
      <c r="T405" s="133"/>
      <c r="U405" s="133"/>
      <c r="V405" s="133"/>
      <c r="W405" s="133"/>
      <c r="X405" s="133"/>
      <c r="Y405" s="133"/>
      <c r="Z405" s="133"/>
    </row>
    <row r="406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88"/>
      <c r="S406" s="133"/>
      <c r="T406" s="133"/>
      <c r="U406" s="133"/>
      <c r="V406" s="133"/>
      <c r="W406" s="133"/>
      <c r="X406" s="133"/>
      <c r="Y406" s="133"/>
      <c r="Z406" s="133"/>
    </row>
    <row r="407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88"/>
      <c r="S407" s="133"/>
      <c r="T407" s="133"/>
      <c r="U407" s="133"/>
      <c r="V407" s="133"/>
      <c r="W407" s="133"/>
      <c r="X407" s="133"/>
      <c r="Y407" s="133"/>
      <c r="Z407" s="133"/>
    </row>
    <row r="408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88"/>
      <c r="S408" s="133"/>
      <c r="T408" s="133"/>
      <c r="U408" s="133"/>
      <c r="V408" s="133"/>
      <c r="W408" s="133"/>
      <c r="X408" s="133"/>
      <c r="Y408" s="133"/>
      <c r="Z408" s="133"/>
    </row>
    <row r="409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88"/>
      <c r="S409" s="133"/>
      <c r="T409" s="133"/>
      <c r="U409" s="133"/>
      <c r="V409" s="133"/>
      <c r="W409" s="133"/>
      <c r="X409" s="133"/>
      <c r="Y409" s="133"/>
      <c r="Z409" s="133"/>
    </row>
    <row r="410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88"/>
      <c r="S410" s="133"/>
      <c r="T410" s="133"/>
      <c r="U410" s="133"/>
      <c r="V410" s="133"/>
      <c r="W410" s="133"/>
      <c r="X410" s="133"/>
      <c r="Y410" s="133"/>
      <c r="Z410" s="133"/>
    </row>
    <row r="41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88"/>
      <c r="S411" s="133"/>
      <c r="T411" s="133"/>
      <c r="U411" s="133"/>
      <c r="V411" s="133"/>
      <c r="W411" s="133"/>
      <c r="X411" s="133"/>
      <c r="Y411" s="133"/>
      <c r="Z411" s="133"/>
    </row>
    <row r="412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88"/>
      <c r="S412" s="133"/>
      <c r="T412" s="133"/>
      <c r="U412" s="133"/>
      <c r="V412" s="133"/>
      <c r="W412" s="133"/>
      <c r="X412" s="133"/>
      <c r="Y412" s="133"/>
      <c r="Z412" s="133"/>
    </row>
    <row r="413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88"/>
      <c r="S413" s="133"/>
      <c r="T413" s="133"/>
      <c r="U413" s="133"/>
      <c r="V413" s="133"/>
      <c r="W413" s="133"/>
      <c r="X413" s="133"/>
      <c r="Y413" s="133"/>
      <c r="Z413" s="133"/>
    </row>
    <row r="414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88"/>
      <c r="S414" s="133"/>
      <c r="T414" s="133"/>
      <c r="U414" s="133"/>
      <c r="V414" s="133"/>
      <c r="W414" s="133"/>
      <c r="X414" s="133"/>
      <c r="Y414" s="133"/>
      <c r="Z414" s="133"/>
    </row>
    <row r="415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88"/>
      <c r="S415" s="133"/>
      <c r="T415" s="133"/>
      <c r="U415" s="133"/>
      <c r="V415" s="133"/>
      <c r="W415" s="133"/>
      <c r="X415" s="133"/>
      <c r="Y415" s="133"/>
      <c r="Z415" s="133"/>
    </row>
    <row r="416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88"/>
      <c r="S416" s="133"/>
      <c r="T416" s="133"/>
      <c r="U416" s="133"/>
      <c r="V416" s="133"/>
      <c r="W416" s="133"/>
      <c r="X416" s="133"/>
      <c r="Y416" s="133"/>
      <c r="Z416" s="133"/>
    </row>
    <row r="417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88"/>
      <c r="S417" s="133"/>
      <c r="T417" s="133"/>
      <c r="U417" s="133"/>
      <c r="V417" s="133"/>
      <c r="W417" s="133"/>
      <c r="X417" s="133"/>
      <c r="Y417" s="133"/>
      <c r="Z417" s="133"/>
    </row>
    <row r="418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88"/>
      <c r="S418" s="133"/>
      <c r="T418" s="133"/>
      <c r="U418" s="133"/>
      <c r="V418" s="133"/>
      <c r="W418" s="133"/>
      <c r="X418" s="133"/>
      <c r="Y418" s="133"/>
      <c r="Z418" s="133"/>
    </row>
    <row r="419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88"/>
      <c r="S419" s="133"/>
      <c r="T419" s="133"/>
      <c r="U419" s="133"/>
      <c r="V419" s="133"/>
      <c r="W419" s="133"/>
      <c r="X419" s="133"/>
      <c r="Y419" s="133"/>
      <c r="Z419" s="133"/>
    </row>
    <row r="420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88"/>
      <c r="S420" s="133"/>
      <c r="T420" s="133"/>
      <c r="U420" s="133"/>
      <c r="V420" s="133"/>
      <c r="W420" s="133"/>
      <c r="X420" s="133"/>
      <c r="Y420" s="133"/>
      <c r="Z420" s="133"/>
    </row>
    <row r="42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88"/>
      <c r="S421" s="133"/>
      <c r="T421" s="133"/>
      <c r="U421" s="133"/>
      <c r="V421" s="133"/>
      <c r="W421" s="133"/>
      <c r="X421" s="133"/>
      <c r="Y421" s="133"/>
      <c r="Z421" s="133"/>
    </row>
    <row r="422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88"/>
      <c r="S422" s="133"/>
      <c r="T422" s="133"/>
      <c r="U422" s="133"/>
      <c r="V422" s="133"/>
      <c r="W422" s="133"/>
      <c r="X422" s="133"/>
      <c r="Y422" s="133"/>
      <c r="Z422" s="133"/>
    </row>
    <row r="423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88"/>
      <c r="S423" s="133"/>
      <c r="T423" s="133"/>
      <c r="U423" s="133"/>
      <c r="V423" s="133"/>
      <c r="W423" s="133"/>
      <c r="X423" s="133"/>
      <c r="Y423" s="133"/>
      <c r="Z423" s="133"/>
    </row>
    <row r="424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88"/>
      <c r="S424" s="133"/>
      <c r="T424" s="133"/>
      <c r="U424" s="133"/>
      <c r="V424" s="133"/>
      <c r="W424" s="133"/>
      <c r="X424" s="133"/>
      <c r="Y424" s="133"/>
      <c r="Z424" s="133"/>
    </row>
    <row r="425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88"/>
      <c r="S425" s="133"/>
      <c r="T425" s="133"/>
      <c r="U425" s="133"/>
      <c r="V425" s="133"/>
      <c r="W425" s="133"/>
      <c r="X425" s="133"/>
      <c r="Y425" s="133"/>
      <c r="Z425" s="133"/>
    </row>
    <row r="426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88"/>
      <c r="S426" s="133"/>
      <c r="T426" s="133"/>
      <c r="U426" s="133"/>
      <c r="V426" s="133"/>
      <c r="W426" s="133"/>
      <c r="X426" s="133"/>
      <c r="Y426" s="133"/>
      <c r="Z426" s="133"/>
    </row>
    <row r="427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88"/>
      <c r="S427" s="133"/>
      <c r="T427" s="133"/>
      <c r="U427" s="133"/>
      <c r="V427" s="133"/>
      <c r="W427" s="133"/>
      <c r="X427" s="133"/>
      <c r="Y427" s="133"/>
      <c r="Z427" s="133"/>
    </row>
    <row r="428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88"/>
      <c r="S428" s="133"/>
      <c r="T428" s="133"/>
      <c r="U428" s="133"/>
      <c r="V428" s="133"/>
      <c r="W428" s="133"/>
      <c r="X428" s="133"/>
      <c r="Y428" s="133"/>
      <c r="Z428" s="133"/>
    </row>
    <row r="429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88"/>
      <c r="S429" s="133"/>
      <c r="T429" s="133"/>
      <c r="U429" s="133"/>
      <c r="V429" s="133"/>
      <c r="W429" s="133"/>
      <c r="X429" s="133"/>
      <c r="Y429" s="133"/>
      <c r="Z429" s="133"/>
    </row>
    <row r="430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88"/>
      <c r="S430" s="133"/>
      <c r="T430" s="133"/>
      <c r="U430" s="133"/>
      <c r="V430" s="133"/>
      <c r="W430" s="133"/>
      <c r="X430" s="133"/>
      <c r="Y430" s="133"/>
      <c r="Z430" s="133"/>
    </row>
    <row r="43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88"/>
      <c r="S431" s="133"/>
      <c r="T431" s="133"/>
      <c r="U431" s="133"/>
      <c r="V431" s="133"/>
      <c r="W431" s="133"/>
      <c r="X431" s="133"/>
      <c r="Y431" s="133"/>
      <c r="Z431" s="133"/>
    </row>
    <row r="432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88"/>
      <c r="S432" s="133"/>
      <c r="T432" s="133"/>
      <c r="U432" s="133"/>
      <c r="V432" s="133"/>
      <c r="W432" s="133"/>
      <c r="X432" s="133"/>
      <c r="Y432" s="133"/>
      <c r="Z432" s="133"/>
    </row>
    <row r="433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88"/>
      <c r="S433" s="133"/>
      <c r="T433" s="133"/>
      <c r="U433" s="133"/>
      <c r="V433" s="133"/>
      <c r="W433" s="133"/>
      <c r="X433" s="133"/>
      <c r="Y433" s="133"/>
      <c r="Z433" s="133"/>
    </row>
    <row r="434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88"/>
      <c r="S434" s="133"/>
      <c r="T434" s="133"/>
      <c r="U434" s="133"/>
      <c r="V434" s="133"/>
      <c r="W434" s="133"/>
      <c r="X434" s="133"/>
      <c r="Y434" s="133"/>
      <c r="Z434" s="133"/>
    </row>
    <row r="435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88"/>
      <c r="S435" s="133"/>
      <c r="T435" s="133"/>
      <c r="U435" s="133"/>
      <c r="V435" s="133"/>
      <c r="W435" s="133"/>
      <c r="X435" s="133"/>
      <c r="Y435" s="133"/>
      <c r="Z435" s="133"/>
    </row>
    <row r="436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88"/>
      <c r="S436" s="133"/>
      <c r="T436" s="133"/>
      <c r="U436" s="133"/>
      <c r="V436" s="133"/>
      <c r="W436" s="133"/>
      <c r="X436" s="133"/>
      <c r="Y436" s="133"/>
      <c r="Z436" s="133"/>
    </row>
    <row r="437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88"/>
      <c r="S437" s="133"/>
      <c r="T437" s="133"/>
      <c r="U437" s="133"/>
      <c r="V437" s="133"/>
      <c r="W437" s="133"/>
      <c r="X437" s="133"/>
      <c r="Y437" s="133"/>
      <c r="Z437" s="133"/>
    </row>
    <row r="438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88"/>
      <c r="S438" s="133"/>
      <c r="T438" s="133"/>
      <c r="U438" s="133"/>
      <c r="V438" s="133"/>
      <c r="W438" s="133"/>
      <c r="X438" s="133"/>
      <c r="Y438" s="133"/>
      <c r="Z438" s="133"/>
    </row>
    <row r="439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88"/>
      <c r="S439" s="133"/>
      <c r="T439" s="133"/>
      <c r="U439" s="133"/>
      <c r="V439" s="133"/>
      <c r="W439" s="133"/>
      <c r="X439" s="133"/>
      <c r="Y439" s="133"/>
      <c r="Z439" s="133"/>
    </row>
    <row r="440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88"/>
      <c r="S440" s="133"/>
      <c r="T440" s="133"/>
      <c r="U440" s="133"/>
      <c r="V440" s="133"/>
      <c r="W440" s="133"/>
      <c r="X440" s="133"/>
      <c r="Y440" s="133"/>
      <c r="Z440" s="133"/>
    </row>
    <row r="44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88"/>
      <c r="S441" s="133"/>
      <c r="T441" s="133"/>
      <c r="U441" s="133"/>
      <c r="V441" s="133"/>
      <c r="W441" s="133"/>
      <c r="X441" s="133"/>
      <c r="Y441" s="133"/>
      <c r="Z441" s="133"/>
    </row>
    <row r="442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88"/>
      <c r="S442" s="133"/>
      <c r="T442" s="133"/>
      <c r="U442" s="133"/>
      <c r="V442" s="133"/>
      <c r="W442" s="133"/>
      <c r="X442" s="133"/>
      <c r="Y442" s="133"/>
      <c r="Z442" s="133"/>
    </row>
    <row r="443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88"/>
      <c r="S443" s="133"/>
      <c r="T443" s="133"/>
      <c r="U443" s="133"/>
      <c r="V443" s="133"/>
      <c r="W443" s="133"/>
      <c r="X443" s="133"/>
      <c r="Y443" s="133"/>
      <c r="Z443" s="133"/>
    </row>
    <row r="444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88"/>
      <c r="S444" s="133"/>
      <c r="T444" s="133"/>
      <c r="U444" s="133"/>
      <c r="V444" s="133"/>
      <c r="W444" s="133"/>
      <c r="X444" s="133"/>
      <c r="Y444" s="133"/>
      <c r="Z444" s="133"/>
    </row>
    <row r="445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88"/>
      <c r="S445" s="133"/>
      <c r="T445" s="133"/>
      <c r="U445" s="133"/>
      <c r="V445" s="133"/>
      <c r="W445" s="133"/>
      <c r="X445" s="133"/>
      <c r="Y445" s="133"/>
      <c r="Z445" s="133"/>
    </row>
    <row r="446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88"/>
      <c r="S446" s="133"/>
      <c r="T446" s="133"/>
      <c r="U446" s="133"/>
      <c r="V446" s="133"/>
      <c r="W446" s="133"/>
      <c r="X446" s="133"/>
      <c r="Y446" s="133"/>
      <c r="Z446" s="133"/>
    </row>
    <row r="447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88"/>
      <c r="S447" s="133"/>
      <c r="T447" s="133"/>
      <c r="U447" s="133"/>
      <c r="V447" s="133"/>
      <c r="W447" s="133"/>
      <c r="X447" s="133"/>
      <c r="Y447" s="133"/>
      <c r="Z447" s="133"/>
    </row>
    <row r="448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88"/>
      <c r="S448" s="133"/>
      <c r="T448" s="133"/>
      <c r="U448" s="133"/>
      <c r="V448" s="133"/>
      <c r="W448" s="133"/>
      <c r="X448" s="133"/>
      <c r="Y448" s="133"/>
      <c r="Z448" s="133"/>
    </row>
    <row r="449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88"/>
      <c r="S449" s="133"/>
      <c r="T449" s="133"/>
      <c r="U449" s="133"/>
      <c r="V449" s="133"/>
      <c r="W449" s="133"/>
      <c r="X449" s="133"/>
      <c r="Y449" s="133"/>
      <c r="Z449" s="133"/>
    </row>
    <row r="450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88"/>
      <c r="S450" s="133"/>
      <c r="T450" s="133"/>
      <c r="U450" s="133"/>
      <c r="V450" s="133"/>
      <c r="W450" s="133"/>
      <c r="X450" s="133"/>
      <c r="Y450" s="133"/>
      <c r="Z450" s="133"/>
    </row>
    <row r="45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88"/>
      <c r="S451" s="133"/>
      <c r="T451" s="133"/>
      <c r="U451" s="133"/>
      <c r="V451" s="133"/>
      <c r="W451" s="133"/>
      <c r="X451" s="133"/>
      <c r="Y451" s="133"/>
      <c r="Z451" s="133"/>
    </row>
    <row r="452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88"/>
      <c r="S452" s="133"/>
      <c r="T452" s="133"/>
      <c r="U452" s="133"/>
      <c r="V452" s="133"/>
      <c r="W452" s="133"/>
      <c r="X452" s="133"/>
      <c r="Y452" s="133"/>
      <c r="Z452" s="133"/>
    </row>
    <row r="453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88"/>
      <c r="S453" s="133"/>
      <c r="T453" s="133"/>
      <c r="U453" s="133"/>
      <c r="V453" s="133"/>
      <c r="W453" s="133"/>
      <c r="X453" s="133"/>
      <c r="Y453" s="133"/>
      <c r="Z453" s="133"/>
    </row>
    <row r="454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88"/>
      <c r="S454" s="133"/>
      <c r="T454" s="133"/>
      <c r="U454" s="133"/>
      <c r="V454" s="133"/>
      <c r="W454" s="133"/>
      <c r="X454" s="133"/>
      <c r="Y454" s="133"/>
      <c r="Z454" s="133"/>
    </row>
    <row r="455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88"/>
      <c r="S455" s="133"/>
      <c r="T455" s="133"/>
      <c r="U455" s="133"/>
      <c r="V455" s="133"/>
      <c r="W455" s="133"/>
      <c r="X455" s="133"/>
      <c r="Y455" s="133"/>
      <c r="Z455" s="133"/>
    </row>
    <row r="456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88"/>
      <c r="S456" s="133"/>
      <c r="T456" s="133"/>
      <c r="U456" s="133"/>
      <c r="V456" s="133"/>
      <c r="W456" s="133"/>
      <c r="X456" s="133"/>
      <c r="Y456" s="133"/>
      <c r="Z456" s="133"/>
    </row>
    <row r="457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88"/>
      <c r="S457" s="133"/>
      <c r="T457" s="133"/>
      <c r="U457" s="133"/>
      <c r="V457" s="133"/>
      <c r="W457" s="133"/>
      <c r="X457" s="133"/>
      <c r="Y457" s="133"/>
      <c r="Z457" s="133"/>
    </row>
    <row r="458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88"/>
      <c r="S458" s="133"/>
      <c r="T458" s="133"/>
      <c r="U458" s="133"/>
      <c r="V458" s="133"/>
      <c r="W458" s="133"/>
      <c r="X458" s="133"/>
      <c r="Y458" s="133"/>
      <c r="Z458" s="133"/>
    </row>
    <row r="459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88"/>
      <c r="S459" s="133"/>
      <c r="T459" s="133"/>
      <c r="U459" s="133"/>
      <c r="V459" s="133"/>
      <c r="W459" s="133"/>
      <c r="X459" s="133"/>
      <c r="Y459" s="133"/>
      <c r="Z459" s="133"/>
    </row>
    <row r="460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88"/>
      <c r="S460" s="133"/>
      <c r="T460" s="133"/>
      <c r="U460" s="133"/>
      <c r="V460" s="133"/>
      <c r="W460" s="133"/>
      <c r="X460" s="133"/>
      <c r="Y460" s="133"/>
      <c r="Z460" s="133"/>
    </row>
    <row r="46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88"/>
      <c r="S461" s="133"/>
      <c r="T461" s="133"/>
      <c r="U461" s="133"/>
      <c r="V461" s="133"/>
      <c r="W461" s="133"/>
      <c r="X461" s="133"/>
      <c r="Y461" s="133"/>
      <c r="Z461" s="133"/>
    </row>
    <row r="462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88"/>
      <c r="S462" s="133"/>
      <c r="T462" s="133"/>
      <c r="U462" s="133"/>
      <c r="V462" s="133"/>
      <c r="W462" s="133"/>
      <c r="X462" s="133"/>
      <c r="Y462" s="133"/>
      <c r="Z462" s="133"/>
    </row>
    <row r="463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88"/>
      <c r="S463" s="133"/>
      <c r="T463" s="133"/>
      <c r="U463" s="133"/>
      <c r="V463" s="133"/>
      <c r="W463" s="133"/>
      <c r="X463" s="133"/>
      <c r="Y463" s="133"/>
      <c r="Z463" s="133"/>
    </row>
    <row r="464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88"/>
      <c r="S464" s="133"/>
      <c r="T464" s="133"/>
      <c r="U464" s="133"/>
      <c r="V464" s="133"/>
      <c r="W464" s="133"/>
      <c r="X464" s="133"/>
      <c r="Y464" s="133"/>
      <c r="Z464" s="133"/>
    </row>
    <row r="465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88"/>
      <c r="S465" s="133"/>
      <c r="T465" s="133"/>
      <c r="U465" s="133"/>
      <c r="V465" s="133"/>
      <c r="W465" s="133"/>
      <c r="X465" s="133"/>
      <c r="Y465" s="133"/>
      <c r="Z465" s="133"/>
    </row>
    <row r="466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88"/>
      <c r="S466" s="133"/>
      <c r="T466" s="133"/>
      <c r="U466" s="133"/>
      <c r="V466" s="133"/>
      <c r="W466" s="133"/>
      <c r="X466" s="133"/>
      <c r="Y466" s="133"/>
      <c r="Z466" s="133"/>
    </row>
    <row r="467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88"/>
      <c r="S467" s="133"/>
      <c r="T467" s="133"/>
      <c r="U467" s="133"/>
      <c r="V467" s="133"/>
      <c r="W467" s="133"/>
      <c r="X467" s="133"/>
      <c r="Y467" s="133"/>
      <c r="Z467" s="133"/>
    </row>
    <row r="468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88"/>
      <c r="S468" s="133"/>
      <c r="T468" s="133"/>
      <c r="U468" s="133"/>
      <c r="V468" s="133"/>
      <c r="W468" s="133"/>
      <c r="X468" s="133"/>
      <c r="Y468" s="133"/>
      <c r="Z468" s="133"/>
    </row>
    <row r="469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88"/>
      <c r="S469" s="133"/>
      <c r="T469" s="133"/>
      <c r="U469" s="133"/>
      <c r="V469" s="133"/>
      <c r="W469" s="133"/>
      <c r="X469" s="133"/>
      <c r="Y469" s="133"/>
      <c r="Z469" s="133"/>
    </row>
    <row r="470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88"/>
      <c r="S470" s="133"/>
      <c r="T470" s="133"/>
      <c r="U470" s="133"/>
      <c r="V470" s="133"/>
      <c r="W470" s="133"/>
      <c r="X470" s="133"/>
      <c r="Y470" s="133"/>
      <c r="Z470" s="133"/>
    </row>
    <row r="47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88"/>
      <c r="S471" s="133"/>
      <c r="T471" s="133"/>
      <c r="U471" s="133"/>
      <c r="V471" s="133"/>
      <c r="W471" s="133"/>
      <c r="X471" s="133"/>
      <c r="Y471" s="133"/>
      <c r="Z471" s="133"/>
    </row>
    <row r="472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88"/>
      <c r="S472" s="133"/>
      <c r="T472" s="133"/>
      <c r="U472" s="133"/>
      <c r="V472" s="133"/>
      <c r="W472" s="133"/>
      <c r="X472" s="133"/>
      <c r="Y472" s="133"/>
      <c r="Z472" s="133"/>
    </row>
    <row r="473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88"/>
      <c r="S473" s="133"/>
      <c r="T473" s="133"/>
      <c r="U473" s="133"/>
      <c r="V473" s="133"/>
      <c r="W473" s="133"/>
      <c r="X473" s="133"/>
      <c r="Y473" s="133"/>
      <c r="Z473" s="133"/>
    </row>
    <row r="474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88"/>
      <c r="S474" s="133"/>
      <c r="T474" s="133"/>
      <c r="U474" s="133"/>
      <c r="V474" s="133"/>
      <c r="W474" s="133"/>
      <c r="X474" s="133"/>
      <c r="Y474" s="133"/>
      <c r="Z474" s="133"/>
    </row>
    <row r="475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88"/>
      <c r="S475" s="133"/>
      <c r="T475" s="133"/>
      <c r="U475" s="133"/>
      <c r="V475" s="133"/>
      <c r="W475" s="133"/>
      <c r="X475" s="133"/>
      <c r="Y475" s="133"/>
      <c r="Z475" s="133"/>
    </row>
    <row r="476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88"/>
      <c r="S476" s="133"/>
      <c r="T476" s="133"/>
      <c r="U476" s="133"/>
      <c r="V476" s="133"/>
      <c r="W476" s="133"/>
      <c r="X476" s="133"/>
      <c r="Y476" s="133"/>
      <c r="Z476" s="133"/>
    </row>
    <row r="477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88"/>
      <c r="S477" s="133"/>
      <c r="T477" s="133"/>
      <c r="U477" s="133"/>
      <c r="V477" s="133"/>
      <c r="W477" s="133"/>
      <c r="X477" s="133"/>
      <c r="Y477" s="133"/>
      <c r="Z477" s="133"/>
    </row>
    <row r="478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88"/>
      <c r="S478" s="133"/>
      <c r="T478" s="133"/>
      <c r="U478" s="133"/>
      <c r="V478" s="133"/>
      <c r="W478" s="133"/>
      <c r="X478" s="133"/>
      <c r="Y478" s="133"/>
      <c r="Z478" s="133"/>
    </row>
    <row r="479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88"/>
      <c r="S479" s="133"/>
      <c r="T479" s="133"/>
      <c r="U479" s="133"/>
      <c r="V479" s="133"/>
      <c r="W479" s="133"/>
      <c r="X479" s="133"/>
      <c r="Y479" s="133"/>
      <c r="Z479" s="133"/>
    </row>
    <row r="480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88"/>
      <c r="S480" s="133"/>
      <c r="T480" s="133"/>
      <c r="U480" s="133"/>
      <c r="V480" s="133"/>
      <c r="W480" s="133"/>
      <c r="X480" s="133"/>
      <c r="Y480" s="133"/>
      <c r="Z480" s="133"/>
    </row>
    <row r="48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88"/>
      <c r="S481" s="133"/>
      <c r="T481" s="133"/>
      <c r="U481" s="133"/>
      <c r="V481" s="133"/>
      <c r="W481" s="133"/>
      <c r="X481" s="133"/>
      <c r="Y481" s="133"/>
      <c r="Z481" s="133"/>
    </row>
    <row r="482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88"/>
      <c r="S482" s="133"/>
      <c r="T482" s="133"/>
      <c r="U482" s="133"/>
      <c r="V482" s="133"/>
      <c r="W482" s="133"/>
      <c r="X482" s="133"/>
      <c r="Y482" s="133"/>
      <c r="Z482" s="133"/>
    </row>
    <row r="483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88"/>
      <c r="S483" s="133"/>
      <c r="T483" s="133"/>
      <c r="U483" s="133"/>
      <c r="V483" s="133"/>
      <c r="W483" s="133"/>
      <c r="X483" s="133"/>
      <c r="Y483" s="133"/>
      <c r="Z483" s="133"/>
    </row>
    <row r="484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88"/>
      <c r="S484" s="133"/>
      <c r="T484" s="133"/>
      <c r="U484" s="133"/>
      <c r="V484" s="133"/>
      <c r="W484" s="133"/>
      <c r="X484" s="133"/>
      <c r="Y484" s="133"/>
      <c r="Z484" s="133"/>
    </row>
    <row r="485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88"/>
      <c r="S485" s="133"/>
      <c r="T485" s="133"/>
      <c r="U485" s="133"/>
      <c r="V485" s="133"/>
      <c r="W485" s="133"/>
      <c r="X485" s="133"/>
      <c r="Y485" s="133"/>
      <c r="Z485" s="133"/>
    </row>
    <row r="486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88"/>
      <c r="S486" s="133"/>
      <c r="T486" s="133"/>
      <c r="U486" s="133"/>
      <c r="V486" s="133"/>
      <c r="W486" s="133"/>
      <c r="X486" s="133"/>
      <c r="Y486" s="133"/>
      <c r="Z486" s="133"/>
    </row>
    <row r="487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88"/>
      <c r="S487" s="133"/>
      <c r="T487" s="133"/>
      <c r="U487" s="133"/>
      <c r="V487" s="133"/>
      <c r="W487" s="133"/>
      <c r="X487" s="133"/>
      <c r="Y487" s="133"/>
      <c r="Z487" s="133"/>
    </row>
    <row r="488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88"/>
      <c r="S488" s="133"/>
      <c r="T488" s="133"/>
      <c r="U488" s="133"/>
      <c r="V488" s="133"/>
      <c r="W488" s="133"/>
      <c r="X488" s="133"/>
      <c r="Y488" s="133"/>
      <c r="Z488" s="133"/>
    </row>
    <row r="489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88"/>
      <c r="S489" s="133"/>
      <c r="T489" s="133"/>
      <c r="U489" s="133"/>
      <c r="V489" s="133"/>
      <c r="W489" s="133"/>
      <c r="X489" s="133"/>
      <c r="Y489" s="133"/>
      <c r="Z489" s="133"/>
    </row>
    <row r="490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88"/>
      <c r="S490" s="133"/>
      <c r="T490" s="133"/>
      <c r="U490" s="133"/>
      <c r="V490" s="133"/>
      <c r="W490" s="133"/>
      <c r="X490" s="133"/>
      <c r="Y490" s="133"/>
      <c r="Z490" s="133"/>
    </row>
    <row r="49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88"/>
      <c r="S491" s="133"/>
      <c r="T491" s="133"/>
      <c r="U491" s="133"/>
      <c r="V491" s="133"/>
      <c r="W491" s="133"/>
      <c r="X491" s="133"/>
      <c r="Y491" s="133"/>
      <c r="Z491" s="133"/>
    </row>
    <row r="492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88"/>
      <c r="S492" s="133"/>
      <c r="T492" s="133"/>
      <c r="U492" s="133"/>
      <c r="V492" s="133"/>
      <c r="W492" s="133"/>
      <c r="X492" s="133"/>
      <c r="Y492" s="133"/>
      <c r="Z492" s="133"/>
    </row>
    <row r="493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88"/>
      <c r="S493" s="133"/>
      <c r="T493" s="133"/>
      <c r="U493" s="133"/>
      <c r="V493" s="133"/>
      <c r="W493" s="133"/>
      <c r="X493" s="133"/>
      <c r="Y493" s="133"/>
      <c r="Z493" s="133"/>
    </row>
    <row r="494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88"/>
      <c r="S494" s="133"/>
      <c r="T494" s="133"/>
      <c r="U494" s="133"/>
      <c r="V494" s="133"/>
      <c r="W494" s="133"/>
      <c r="X494" s="133"/>
      <c r="Y494" s="133"/>
      <c r="Z494" s="133"/>
    </row>
    <row r="495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88"/>
      <c r="S495" s="133"/>
      <c r="T495" s="133"/>
      <c r="U495" s="133"/>
      <c r="V495" s="133"/>
      <c r="W495" s="133"/>
      <c r="X495" s="133"/>
      <c r="Y495" s="133"/>
      <c r="Z495" s="133"/>
    </row>
    <row r="496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88"/>
      <c r="S496" s="133"/>
      <c r="T496" s="133"/>
      <c r="U496" s="133"/>
      <c r="V496" s="133"/>
      <c r="W496" s="133"/>
      <c r="X496" s="133"/>
      <c r="Y496" s="133"/>
      <c r="Z496" s="133"/>
    </row>
    <row r="497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88"/>
      <c r="S497" s="133"/>
      <c r="T497" s="133"/>
      <c r="U497" s="133"/>
      <c r="V497" s="133"/>
      <c r="W497" s="133"/>
      <c r="X497" s="133"/>
      <c r="Y497" s="133"/>
      <c r="Z497" s="133"/>
    </row>
    <row r="498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88"/>
      <c r="S498" s="133"/>
      <c r="T498" s="133"/>
      <c r="U498" s="133"/>
      <c r="V498" s="133"/>
      <c r="W498" s="133"/>
      <c r="X498" s="133"/>
      <c r="Y498" s="133"/>
      <c r="Z498" s="133"/>
    </row>
    <row r="499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88"/>
      <c r="S499" s="133"/>
      <c r="T499" s="133"/>
      <c r="U499" s="133"/>
      <c r="V499" s="133"/>
      <c r="W499" s="133"/>
      <c r="X499" s="133"/>
      <c r="Y499" s="133"/>
      <c r="Z499" s="133"/>
    </row>
    <row r="500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88"/>
      <c r="S500" s="133"/>
      <c r="T500" s="133"/>
      <c r="U500" s="133"/>
      <c r="V500" s="133"/>
      <c r="W500" s="133"/>
      <c r="X500" s="133"/>
      <c r="Y500" s="133"/>
      <c r="Z500" s="133"/>
    </row>
    <row r="50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88"/>
      <c r="S501" s="133"/>
      <c r="T501" s="133"/>
      <c r="U501" s="133"/>
      <c r="V501" s="133"/>
      <c r="W501" s="133"/>
      <c r="X501" s="133"/>
      <c r="Y501" s="133"/>
      <c r="Z501" s="133"/>
    </row>
    <row r="502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88"/>
      <c r="S502" s="133"/>
      <c r="T502" s="133"/>
      <c r="U502" s="133"/>
      <c r="V502" s="133"/>
      <c r="W502" s="133"/>
      <c r="X502" s="133"/>
      <c r="Y502" s="133"/>
      <c r="Z502" s="133"/>
    </row>
    <row r="503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88"/>
      <c r="S503" s="133"/>
      <c r="T503" s="133"/>
      <c r="U503" s="133"/>
      <c r="V503" s="133"/>
      <c r="W503" s="133"/>
      <c r="X503" s="133"/>
      <c r="Y503" s="133"/>
      <c r="Z503" s="133"/>
    </row>
    <row r="504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88"/>
      <c r="S504" s="133"/>
      <c r="T504" s="133"/>
      <c r="U504" s="133"/>
      <c r="V504" s="133"/>
      <c r="W504" s="133"/>
      <c r="X504" s="133"/>
      <c r="Y504" s="133"/>
      <c r="Z504" s="133"/>
    </row>
    <row r="505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88"/>
      <c r="S505" s="133"/>
      <c r="T505" s="133"/>
      <c r="U505" s="133"/>
      <c r="V505" s="133"/>
      <c r="W505" s="133"/>
      <c r="X505" s="133"/>
      <c r="Y505" s="133"/>
      <c r="Z505" s="133"/>
    </row>
    <row r="506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88"/>
      <c r="S506" s="133"/>
      <c r="T506" s="133"/>
      <c r="U506" s="133"/>
      <c r="V506" s="133"/>
      <c r="W506" s="133"/>
      <c r="X506" s="133"/>
      <c r="Y506" s="133"/>
      <c r="Z506" s="133"/>
    </row>
    <row r="507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88"/>
      <c r="S507" s="133"/>
      <c r="T507" s="133"/>
      <c r="U507" s="133"/>
      <c r="V507" s="133"/>
      <c r="W507" s="133"/>
      <c r="X507" s="133"/>
      <c r="Y507" s="133"/>
      <c r="Z507" s="133"/>
    </row>
    <row r="508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88"/>
      <c r="S508" s="133"/>
      <c r="T508" s="133"/>
      <c r="U508" s="133"/>
      <c r="V508" s="133"/>
      <c r="W508" s="133"/>
      <c r="X508" s="133"/>
      <c r="Y508" s="133"/>
      <c r="Z508" s="133"/>
    </row>
    <row r="509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88"/>
      <c r="S509" s="133"/>
      <c r="T509" s="133"/>
      <c r="U509" s="133"/>
      <c r="V509" s="133"/>
      <c r="W509" s="133"/>
      <c r="X509" s="133"/>
      <c r="Y509" s="133"/>
      <c r="Z509" s="133"/>
    </row>
    <row r="510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88"/>
      <c r="S510" s="133"/>
      <c r="T510" s="133"/>
      <c r="U510" s="133"/>
      <c r="V510" s="133"/>
      <c r="W510" s="133"/>
      <c r="X510" s="133"/>
      <c r="Y510" s="133"/>
      <c r="Z510" s="133"/>
    </row>
    <row r="51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88"/>
      <c r="S511" s="133"/>
      <c r="T511" s="133"/>
      <c r="U511" s="133"/>
      <c r="V511" s="133"/>
      <c r="W511" s="133"/>
      <c r="X511" s="133"/>
      <c r="Y511" s="133"/>
      <c r="Z511" s="133"/>
    </row>
    <row r="512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88"/>
      <c r="S512" s="133"/>
      <c r="T512" s="133"/>
      <c r="U512" s="133"/>
      <c r="V512" s="133"/>
      <c r="W512" s="133"/>
      <c r="X512" s="133"/>
      <c r="Y512" s="133"/>
      <c r="Z512" s="133"/>
    </row>
    <row r="513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88"/>
      <c r="S513" s="133"/>
      <c r="T513" s="133"/>
      <c r="U513" s="133"/>
      <c r="V513" s="133"/>
      <c r="W513" s="133"/>
      <c r="X513" s="133"/>
      <c r="Y513" s="133"/>
      <c r="Z513" s="133"/>
    </row>
    <row r="514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88"/>
      <c r="S514" s="133"/>
      <c r="T514" s="133"/>
      <c r="U514" s="133"/>
      <c r="V514" s="133"/>
      <c r="W514" s="133"/>
      <c r="X514" s="133"/>
      <c r="Y514" s="133"/>
      <c r="Z514" s="133"/>
    </row>
    <row r="515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88"/>
      <c r="S515" s="133"/>
      <c r="T515" s="133"/>
      <c r="U515" s="133"/>
      <c r="V515" s="133"/>
      <c r="W515" s="133"/>
      <c r="X515" s="133"/>
      <c r="Y515" s="133"/>
      <c r="Z515" s="133"/>
    </row>
    <row r="516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88"/>
      <c r="S516" s="133"/>
      <c r="T516" s="133"/>
      <c r="U516" s="133"/>
      <c r="V516" s="133"/>
      <c r="W516" s="133"/>
      <c r="X516" s="133"/>
      <c r="Y516" s="133"/>
      <c r="Z516" s="133"/>
    </row>
    <row r="517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88"/>
      <c r="S517" s="133"/>
      <c r="T517" s="133"/>
      <c r="U517" s="133"/>
      <c r="V517" s="133"/>
      <c r="W517" s="133"/>
      <c r="X517" s="133"/>
      <c r="Y517" s="133"/>
      <c r="Z517" s="133"/>
    </row>
    <row r="518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88"/>
      <c r="S518" s="133"/>
      <c r="T518" s="133"/>
      <c r="U518" s="133"/>
      <c r="V518" s="133"/>
      <c r="W518" s="133"/>
      <c r="X518" s="133"/>
      <c r="Y518" s="133"/>
      <c r="Z518" s="133"/>
    </row>
    <row r="519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88"/>
      <c r="S519" s="133"/>
      <c r="T519" s="133"/>
      <c r="U519" s="133"/>
      <c r="V519" s="133"/>
      <c r="W519" s="133"/>
      <c r="X519" s="133"/>
      <c r="Y519" s="133"/>
      <c r="Z519" s="133"/>
    </row>
    <row r="520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88"/>
      <c r="S520" s="133"/>
      <c r="T520" s="133"/>
      <c r="U520" s="133"/>
      <c r="V520" s="133"/>
      <c r="W520" s="133"/>
      <c r="X520" s="133"/>
      <c r="Y520" s="133"/>
      <c r="Z520" s="133"/>
    </row>
    <row r="52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88"/>
      <c r="S521" s="133"/>
      <c r="T521" s="133"/>
      <c r="U521" s="133"/>
      <c r="V521" s="133"/>
      <c r="W521" s="133"/>
      <c r="X521" s="133"/>
      <c r="Y521" s="133"/>
      <c r="Z521" s="133"/>
    </row>
    <row r="522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88"/>
      <c r="S522" s="133"/>
      <c r="T522" s="133"/>
      <c r="U522" s="133"/>
      <c r="V522" s="133"/>
      <c r="W522" s="133"/>
      <c r="X522" s="133"/>
      <c r="Y522" s="133"/>
      <c r="Z522" s="133"/>
    </row>
    <row r="523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88"/>
      <c r="S523" s="133"/>
      <c r="T523" s="133"/>
      <c r="U523" s="133"/>
      <c r="V523" s="133"/>
      <c r="W523" s="133"/>
      <c r="X523" s="133"/>
      <c r="Y523" s="133"/>
      <c r="Z523" s="133"/>
    </row>
    <row r="524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88"/>
      <c r="S524" s="133"/>
      <c r="T524" s="133"/>
      <c r="U524" s="133"/>
      <c r="V524" s="133"/>
      <c r="W524" s="133"/>
      <c r="X524" s="133"/>
      <c r="Y524" s="133"/>
      <c r="Z524" s="133"/>
    </row>
    <row r="525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88"/>
      <c r="S525" s="133"/>
      <c r="T525" s="133"/>
      <c r="U525" s="133"/>
      <c r="V525" s="133"/>
      <c r="W525" s="133"/>
      <c r="X525" s="133"/>
      <c r="Y525" s="133"/>
      <c r="Z525" s="133"/>
    </row>
    <row r="526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88"/>
      <c r="S526" s="133"/>
      <c r="T526" s="133"/>
      <c r="U526" s="133"/>
      <c r="V526" s="133"/>
      <c r="W526" s="133"/>
      <c r="X526" s="133"/>
      <c r="Y526" s="133"/>
      <c r="Z526" s="133"/>
    </row>
    <row r="527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88"/>
      <c r="S527" s="133"/>
      <c r="T527" s="133"/>
      <c r="U527" s="133"/>
      <c r="V527" s="133"/>
      <c r="W527" s="133"/>
      <c r="X527" s="133"/>
      <c r="Y527" s="133"/>
      <c r="Z527" s="133"/>
    </row>
    <row r="528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88"/>
      <c r="S528" s="133"/>
      <c r="T528" s="133"/>
      <c r="U528" s="133"/>
      <c r="V528" s="133"/>
      <c r="W528" s="133"/>
      <c r="X528" s="133"/>
      <c r="Y528" s="133"/>
      <c r="Z528" s="133"/>
    </row>
    <row r="529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88"/>
      <c r="S529" s="133"/>
      <c r="T529" s="133"/>
      <c r="U529" s="133"/>
      <c r="V529" s="133"/>
      <c r="W529" s="133"/>
      <c r="X529" s="133"/>
      <c r="Y529" s="133"/>
      <c r="Z529" s="133"/>
    </row>
    <row r="530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88"/>
      <c r="S530" s="133"/>
      <c r="T530" s="133"/>
      <c r="U530" s="133"/>
      <c r="V530" s="133"/>
      <c r="W530" s="133"/>
      <c r="X530" s="133"/>
      <c r="Y530" s="133"/>
      <c r="Z530" s="133"/>
    </row>
    <row r="53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88"/>
      <c r="S531" s="133"/>
      <c r="T531" s="133"/>
      <c r="U531" s="133"/>
      <c r="V531" s="133"/>
      <c r="W531" s="133"/>
      <c r="X531" s="133"/>
      <c r="Y531" s="133"/>
      <c r="Z531" s="133"/>
    </row>
    <row r="532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88"/>
      <c r="S532" s="133"/>
      <c r="T532" s="133"/>
      <c r="U532" s="133"/>
      <c r="V532" s="133"/>
      <c r="W532" s="133"/>
      <c r="X532" s="133"/>
      <c r="Y532" s="133"/>
      <c r="Z532" s="133"/>
    </row>
    <row r="533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88"/>
      <c r="S533" s="133"/>
      <c r="T533" s="133"/>
      <c r="U533" s="133"/>
      <c r="V533" s="133"/>
      <c r="W533" s="133"/>
      <c r="X533" s="133"/>
      <c r="Y533" s="133"/>
      <c r="Z533" s="133"/>
    </row>
    <row r="534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88"/>
      <c r="S534" s="133"/>
      <c r="T534" s="133"/>
      <c r="U534" s="133"/>
      <c r="V534" s="133"/>
      <c r="W534" s="133"/>
      <c r="X534" s="133"/>
      <c r="Y534" s="133"/>
      <c r="Z534" s="133"/>
    </row>
    <row r="535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88"/>
      <c r="S535" s="133"/>
      <c r="T535" s="133"/>
      <c r="U535" s="133"/>
      <c r="V535" s="133"/>
      <c r="W535" s="133"/>
      <c r="X535" s="133"/>
      <c r="Y535" s="133"/>
      <c r="Z535" s="133"/>
    </row>
    <row r="536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88"/>
      <c r="S536" s="133"/>
      <c r="T536" s="133"/>
      <c r="U536" s="133"/>
      <c r="V536" s="133"/>
      <c r="W536" s="133"/>
      <c r="X536" s="133"/>
      <c r="Y536" s="133"/>
      <c r="Z536" s="133"/>
    </row>
    <row r="537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88"/>
      <c r="S537" s="133"/>
      <c r="T537" s="133"/>
      <c r="U537" s="133"/>
      <c r="V537" s="133"/>
      <c r="W537" s="133"/>
      <c r="X537" s="133"/>
      <c r="Y537" s="133"/>
      <c r="Z537" s="133"/>
    </row>
    <row r="538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88"/>
      <c r="S538" s="133"/>
      <c r="T538" s="133"/>
      <c r="U538" s="133"/>
      <c r="V538" s="133"/>
      <c r="W538" s="133"/>
      <c r="X538" s="133"/>
      <c r="Y538" s="133"/>
      <c r="Z538" s="133"/>
    </row>
    <row r="539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88"/>
      <c r="S539" s="133"/>
      <c r="T539" s="133"/>
      <c r="U539" s="133"/>
      <c r="V539" s="133"/>
      <c r="W539" s="133"/>
      <c r="X539" s="133"/>
      <c r="Y539" s="133"/>
      <c r="Z539" s="133"/>
    </row>
    <row r="540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88"/>
      <c r="S540" s="133"/>
      <c r="T540" s="133"/>
      <c r="U540" s="133"/>
      <c r="V540" s="133"/>
      <c r="W540" s="133"/>
      <c r="X540" s="133"/>
      <c r="Y540" s="133"/>
      <c r="Z540" s="133"/>
    </row>
    <row r="54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88"/>
      <c r="S541" s="133"/>
      <c r="T541" s="133"/>
      <c r="U541" s="133"/>
      <c r="V541" s="133"/>
      <c r="W541" s="133"/>
      <c r="X541" s="133"/>
      <c r="Y541" s="133"/>
      <c r="Z541" s="133"/>
    </row>
    <row r="542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88"/>
      <c r="S542" s="133"/>
      <c r="T542" s="133"/>
      <c r="U542" s="133"/>
      <c r="V542" s="133"/>
      <c r="W542" s="133"/>
      <c r="X542" s="133"/>
      <c r="Y542" s="133"/>
      <c r="Z542" s="133"/>
    </row>
    <row r="543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88"/>
      <c r="S543" s="133"/>
      <c r="T543" s="133"/>
      <c r="U543" s="133"/>
      <c r="V543" s="133"/>
      <c r="W543" s="133"/>
      <c r="X543" s="133"/>
      <c r="Y543" s="133"/>
      <c r="Z543" s="133"/>
    </row>
    <row r="544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88"/>
      <c r="S544" s="133"/>
      <c r="T544" s="133"/>
      <c r="U544" s="133"/>
      <c r="V544" s="133"/>
      <c r="W544" s="133"/>
      <c r="X544" s="133"/>
      <c r="Y544" s="133"/>
      <c r="Z544" s="133"/>
    </row>
    <row r="545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88"/>
      <c r="S545" s="133"/>
      <c r="T545" s="133"/>
      <c r="U545" s="133"/>
      <c r="V545" s="133"/>
      <c r="W545" s="133"/>
      <c r="X545" s="133"/>
      <c r="Y545" s="133"/>
      <c r="Z545" s="133"/>
    </row>
    <row r="546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88"/>
      <c r="S546" s="133"/>
      <c r="T546" s="133"/>
      <c r="U546" s="133"/>
      <c r="V546" s="133"/>
      <c r="W546" s="133"/>
      <c r="X546" s="133"/>
      <c r="Y546" s="133"/>
      <c r="Z546" s="133"/>
    </row>
    <row r="547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88"/>
      <c r="S547" s="133"/>
      <c r="T547" s="133"/>
      <c r="U547" s="133"/>
      <c r="V547" s="133"/>
      <c r="W547" s="133"/>
      <c r="X547" s="133"/>
      <c r="Y547" s="133"/>
      <c r="Z547" s="133"/>
    </row>
    <row r="548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88"/>
      <c r="S548" s="133"/>
      <c r="T548" s="133"/>
      <c r="U548" s="133"/>
      <c r="V548" s="133"/>
      <c r="W548" s="133"/>
      <c r="X548" s="133"/>
      <c r="Y548" s="133"/>
      <c r="Z548" s="133"/>
    </row>
    <row r="549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88"/>
      <c r="S549" s="133"/>
      <c r="T549" s="133"/>
      <c r="U549" s="133"/>
      <c r="V549" s="133"/>
      <c r="W549" s="133"/>
      <c r="X549" s="133"/>
      <c r="Y549" s="133"/>
      <c r="Z549" s="133"/>
    </row>
    <row r="550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88"/>
      <c r="S550" s="133"/>
      <c r="T550" s="133"/>
      <c r="U550" s="133"/>
      <c r="V550" s="133"/>
      <c r="W550" s="133"/>
      <c r="X550" s="133"/>
      <c r="Y550" s="133"/>
      <c r="Z550" s="133"/>
    </row>
    <row r="55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88"/>
      <c r="S551" s="133"/>
      <c r="T551" s="133"/>
      <c r="U551" s="133"/>
      <c r="V551" s="133"/>
      <c r="W551" s="133"/>
      <c r="X551" s="133"/>
      <c r="Y551" s="133"/>
      <c r="Z551" s="133"/>
    </row>
    <row r="552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88"/>
      <c r="S552" s="133"/>
      <c r="T552" s="133"/>
      <c r="U552" s="133"/>
      <c r="V552" s="133"/>
      <c r="W552" s="133"/>
      <c r="X552" s="133"/>
      <c r="Y552" s="133"/>
      <c r="Z552" s="133"/>
    </row>
    <row r="553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88"/>
      <c r="S553" s="133"/>
      <c r="T553" s="133"/>
      <c r="U553" s="133"/>
      <c r="V553" s="133"/>
      <c r="W553" s="133"/>
      <c r="X553" s="133"/>
      <c r="Y553" s="133"/>
      <c r="Z553" s="133"/>
    </row>
    <row r="554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88"/>
      <c r="S554" s="133"/>
      <c r="T554" s="133"/>
      <c r="U554" s="133"/>
      <c r="V554" s="133"/>
      <c r="W554" s="133"/>
      <c r="X554" s="133"/>
      <c r="Y554" s="133"/>
      <c r="Z554" s="133"/>
    </row>
    <row r="555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88"/>
      <c r="S555" s="133"/>
      <c r="T555" s="133"/>
      <c r="U555" s="133"/>
      <c r="V555" s="133"/>
      <c r="W555" s="133"/>
      <c r="X555" s="133"/>
      <c r="Y555" s="133"/>
      <c r="Z555" s="133"/>
    </row>
    <row r="556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88"/>
      <c r="S556" s="133"/>
      <c r="T556" s="133"/>
      <c r="U556" s="133"/>
      <c r="V556" s="133"/>
      <c r="W556" s="133"/>
      <c r="X556" s="133"/>
      <c r="Y556" s="133"/>
      <c r="Z556" s="133"/>
    </row>
    <row r="557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88"/>
      <c r="S557" s="133"/>
      <c r="T557" s="133"/>
      <c r="U557" s="133"/>
      <c r="V557" s="133"/>
      <c r="W557" s="133"/>
      <c r="X557" s="133"/>
      <c r="Y557" s="133"/>
      <c r="Z557" s="133"/>
    </row>
    <row r="558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88"/>
      <c r="S558" s="133"/>
      <c r="T558" s="133"/>
      <c r="U558" s="133"/>
      <c r="V558" s="133"/>
      <c r="W558" s="133"/>
      <c r="X558" s="133"/>
      <c r="Y558" s="133"/>
      <c r="Z558" s="133"/>
    </row>
    <row r="559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88"/>
      <c r="S559" s="133"/>
      <c r="T559" s="133"/>
      <c r="U559" s="133"/>
      <c r="V559" s="133"/>
      <c r="W559" s="133"/>
      <c r="X559" s="133"/>
      <c r="Y559" s="133"/>
      <c r="Z559" s="133"/>
    </row>
    <row r="560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88"/>
      <c r="S560" s="133"/>
      <c r="T560" s="133"/>
      <c r="U560" s="133"/>
      <c r="V560" s="133"/>
      <c r="W560" s="133"/>
      <c r="X560" s="133"/>
      <c r="Y560" s="133"/>
      <c r="Z560" s="133"/>
    </row>
    <row r="56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88"/>
      <c r="S561" s="133"/>
      <c r="T561" s="133"/>
      <c r="U561" s="133"/>
      <c r="V561" s="133"/>
      <c r="W561" s="133"/>
      <c r="X561" s="133"/>
      <c r="Y561" s="133"/>
      <c r="Z561" s="133"/>
    </row>
    <row r="562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88"/>
      <c r="S562" s="133"/>
      <c r="T562" s="133"/>
      <c r="U562" s="133"/>
      <c r="V562" s="133"/>
      <c r="W562" s="133"/>
      <c r="X562" s="133"/>
      <c r="Y562" s="133"/>
      <c r="Z562" s="133"/>
    </row>
    <row r="563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88"/>
      <c r="S563" s="133"/>
      <c r="T563" s="133"/>
      <c r="U563" s="133"/>
      <c r="V563" s="133"/>
      <c r="W563" s="133"/>
      <c r="X563" s="133"/>
      <c r="Y563" s="133"/>
      <c r="Z563" s="133"/>
    </row>
    <row r="564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88"/>
      <c r="S564" s="133"/>
      <c r="T564" s="133"/>
      <c r="U564" s="133"/>
      <c r="V564" s="133"/>
      <c r="W564" s="133"/>
      <c r="X564" s="133"/>
      <c r="Y564" s="133"/>
      <c r="Z564" s="133"/>
    </row>
    <row r="565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88"/>
      <c r="S565" s="133"/>
      <c r="T565" s="133"/>
      <c r="U565" s="133"/>
      <c r="V565" s="133"/>
      <c r="W565" s="133"/>
      <c r="X565" s="133"/>
      <c r="Y565" s="133"/>
      <c r="Z565" s="133"/>
    </row>
    <row r="566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88"/>
      <c r="S566" s="133"/>
      <c r="T566" s="133"/>
      <c r="U566" s="133"/>
      <c r="V566" s="133"/>
      <c r="W566" s="133"/>
      <c r="X566" s="133"/>
      <c r="Y566" s="133"/>
      <c r="Z566" s="133"/>
    </row>
    <row r="567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88"/>
      <c r="S567" s="133"/>
      <c r="T567" s="133"/>
      <c r="U567" s="133"/>
      <c r="V567" s="133"/>
      <c r="W567" s="133"/>
      <c r="X567" s="133"/>
      <c r="Y567" s="133"/>
      <c r="Z567" s="133"/>
    </row>
    <row r="568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88"/>
      <c r="S568" s="133"/>
      <c r="T568" s="133"/>
      <c r="U568" s="133"/>
      <c r="V568" s="133"/>
      <c r="W568" s="133"/>
      <c r="X568" s="133"/>
      <c r="Y568" s="133"/>
      <c r="Z568" s="133"/>
    </row>
    <row r="569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88"/>
      <c r="S569" s="133"/>
      <c r="T569" s="133"/>
      <c r="U569" s="133"/>
      <c r="V569" s="133"/>
      <c r="W569" s="133"/>
      <c r="X569" s="133"/>
      <c r="Y569" s="133"/>
      <c r="Z569" s="133"/>
    </row>
    <row r="570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88"/>
      <c r="S570" s="133"/>
      <c r="T570" s="133"/>
      <c r="U570" s="133"/>
      <c r="V570" s="133"/>
      <c r="W570" s="133"/>
      <c r="X570" s="133"/>
      <c r="Y570" s="133"/>
      <c r="Z570" s="133"/>
    </row>
    <row r="57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88"/>
      <c r="S571" s="133"/>
      <c r="T571" s="133"/>
      <c r="U571" s="133"/>
      <c r="V571" s="133"/>
      <c r="W571" s="133"/>
      <c r="X571" s="133"/>
      <c r="Y571" s="133"/>
      <c r="Z571" s="133"/>
    </row>
    <row r="572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88"/>
      <c r="S572" s="133"/>
      <c r="T572" s="133"/>
      <c r="U572" s="133"/>
      <c r="V572" s="133"/>
      <c r="W572" s="133"/>
      <c r="X572" s="133"/>
      <c r="Y572" s="133"/>
      <c r="Z572" s="133"/>
    </row>
    <row r="573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88"/>
      <c r="S573" s="133"/>
      <c r="T573" s="133"/>
      <c r="U573" s="133"/>
      <c r="V573" s="133"/>
      <c r="W573" s="133"/>
      <c r="X573" s="133"/>
      <c r="Y573" s="133"/>
      <c r="Z573" s="133"/>
    </row>
    <row r="574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88"/>
      <c r="S574" s="133"/>
      <c r="T574" s="133"/>
      <c r="U574" s="133"/>
      <c r="V574" s="133"/>
      <c r="W574" s="133"/>
      <c r="X574" s="133"/>
      <c r="Y574" s="133"/>
      <c r="Z574" s="133"/>
    </row>
    <row r="575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88"/>
      <c r="S575" s="133"/>
      <c r="T575" s="133"/>
      <c r="U575" s="133"/>
      <c r="V575" s="133"/>
      <c r="W575" s="133"/>
      <c r="X575" s="133"/>
      <c r="Y575" s="133"/>
      <c r="Z575" s="133"/>
    </row>
    <row r="576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88"/>
      <c r="S576" s="133"/>
      <c r="T576" s="133"/>
      <c r="U576" s="133"/>
      <c r="V576" s="133"/>
      <c r="W576" s="133"/>
      <c r="X576" s="133"/>
      <c r="Y576" s="133"/>
      <c r="Z576" s="133"/>
    </row>
    <row r="577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88"/>
      <c r="S577" s="133"/>
      <c r="T577" s="133"/>
      <c r="U577" s="133"/>
      <c r="V577" s="133"/>
      <c r="W577" s="133"/>
      <c r="X577" s="133"/>
      <c r="Y577" s="133"/>
      <c r="Z577" s="133"/>
    </row>
    <row r="578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88"/>
      <c r="S578" s="133"/>
      <c r="T578" s="133"/>
      <c r="U578" s="133"/>
      <c r="V578" s="133"/>
      <c r="W578" s="133"/>
      <c r="X578" s="133"/>
      <c r="Y578" s="133"/>
      <c r="Z578" s="133"/>
    </row>
    <row r="579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88"/>
      <c r="S579" s="133"/>
      <c r="T579" s="133"/>
      <c r="U579" s="133"/>
      <c r="V579" s="133"/>
      <c r="W579" s="133"/>
      <c r="X579" s="133"/>
      <c r="Y579" s="133"/>
      <c r="Z579" s="133"/>
    </row>
    <row r="580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88"/>
      <c r="S580" s="133"/>
      <c r="T580" s="133"/>
      <c r="U580" s="133"/>
      <c r="V580" s="133"/>
      <c r="W580" s="133"/>
      <c r="X580" s="133"/>
      <c r="Y580" s="133"/>
      <c r="Z580" s="133"/>
    </row>
    <row r="58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88"/>
      <c r="S581" s="133"/>
      <c r="T581" s="133"/>
      <c r="U581" s="133"/>
      <c r="V581" s="133"/>
      <c r="W581" s="133"/>
      <c r="X581" s="133"/>
      <c r="Y581" s="133"/>
      <c r="Z581" s="133"/>
    </row>
    <row r="582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88"/>
      <c r="S582" s="133"/>
      <c r="T582" s="133"/>
      <c r="U582" s="133"/>
      <c r="V582" s="133"/>
      <c r="W582" s="133"/>
      <c r="X582" s="133"/>
      <c r="Y582" s="133"/>
      <c r="Z582" s="133"/>
    </row>
    <row r="583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88"/>
      <c r="S583" s="133"/>
      <c r="T583" s="133"/>
      <c r="U583" s="133"/>
      <c r="V583" s="133"/>
      <c r="W583" s="133"/>
      <c r="X583" s="133"/>
      <c r="Y583" s="133"/>
      <c r="Z583" s="133"/>
    </row>
    <row r="584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88"/>
      <c r="S584" s="133"/>
      <c r="T584" s="133"/>
      <c r="U584" s="133"/>
      <c r="V584" s="133"/>
      <c r="W584" s="133"/>
      <c r="X584" s="133"/>
      <c r="Y584" s="133"/>
      <c r="Z584" s="133"/>
    </row>
    <row r="585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88"/>
      <c r="S585" s="133"/>
      <c r="T585" s="133"/>
      <c r="U585" s="133"/>
      <c r="V585" s="133"/>
      <c r="W585" s="133"/>
      <c r="X585" s="133"/>
      <c r="Y585" s="133"/>
      <c r="Z585" s="133"/>
    </row>
    <row r="586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88"/>
      <c r="S586" s="133"/>
      <c r="T586" s="133"/>
      <c r="U586" s="133"/>
      <c r="V586" s="133"/>
      <c r="W586" s="133"/>
      <c r="X586" s="133"/>
      <c r="Y586" s="133"/>
      <c r="Z586" s="133"/>
    </row>
    <row r="587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88"/>
      <c r="S587" s="133"/>
      <c r="T587" s="133"/>
      <c r="U587" s="133"/>
      <c r="V587" s="133"/>
      <c r="W587" s="133"/>
      <c r="X587" s="133"/>
      <c r="Y587" s="133"/>
      <c r="Z587" s="133"/>
    </row>
    <row r="588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88"/>
      <c r="S588" s="133"/>
      <c r="T588" s="133"/>
      <c r="U588" s="133"/>
      <c r="V588" s="133"/>
      <c r="W588" s="133"/>
      <c r="X588" s="133"/>
      <c r="Y588" s="133"/>
      <c r="Z588" s="133"/>
    </row>
    <row r="589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88"/>
      <c r="S589" s="133"/>
      <c r="T589" s="133"/>
      <c r="U589" s="133"/>
      <c r="V589" s="133"/>
      <c r="W589" s="133"/>
      <c r="X589" s="133"/>
      <c r="Y589" s="133"/>
      <c r="Z589" s="133"/>
    </row>
    <row r="590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88"/>
      <c r="S590" s="133"/>
      <c r="T590" s="133"/>
      <c r="U590" s="133"/>
      <c r="V590" s="133"/>
      <c r="W590" s="133"/>
      <c r="X590" s="133"/>
      <c r="Y590" s="133"/>
      <c r="Z590" s="133"/>
    </row>
    <row r="59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88"/>
      <c r="S591" s="133"/>
      <c r="T591" s="133"/>
      <c r="U591" s="133"/>
      <c r="V591" s="133"/>
      <c r="W591" s="133"/>
      <c r="X591" s="133"/>
      <c r="Y591" s="133"/>
      <c r="Z591" s="133"/>
    </row>
    <row r="592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88"/>
      <c r="S592" s="133"/>
      <c r="T592" s="133"/>
      <c r="U592" s="133"/>
      <c r="V592" s="133"/>
      <c r="W592" s="133"/>
      <c r="X592" s="133"/>
      <c r="Y592" s="133"/>
      <c r="Z592" s="133"/>
    </row>
    <row r="593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88"/>
      <c r="S593" s="133"/>
      <c r="T593" s="133"/>
      <c r="U593" s="133"/>
      <c r="V593" s="133"/>
      <c r="W593" s="133"/>
      <c r="X593" s="133"/>
      <c r="Y593" s="133"/>
      <c r="Z593" s="133"/>
    </row>
    <row r="594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88"/>
      <c r="S594" s="133"/>
      <c r="T594" s="133"/>
      <c r="U594" s="133"/>
      <c r="V594" s="133"/>
      <c r="W594" s="133"/>
      <c r="X594" s="133"/>
      <c r="Y594" s="133"/>
      <c r="Z594" s="133"/>
    </row>
    <row r="595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88"/>
      <c r="S595" s="133"/>
      <c r="T595" s="133"/>
      <c r="U595" s="133"/>
      <c r="V595" s="133"/>
      <c r="W595" s="133"/>
      <c r="X595" s="133"/>
      <c r="Y595" s="133"/>
      <c r="Z595" s="133"/>
    </row>
    <row r="596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88"/>
      <c r="S596" s="133"/>
      <c r="T596" s="133"/>
      <c r="U596" s="133"/>
      <c r="V596" s="133"/>
      <c r="W596" s="133"/>
      <c r="X596" s="133"/>
      <c r="Y596" s="133"/>
      <c r="Z596" s="133"/>
    </row>
    <row r="597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88"/>
      <c r="S597" s="133"/>
      <c r="T597" s="133"/>
      <c r="U597" s="133"/>
      <c r="V597" s="133"/>
      <c r="W597" s="133"/>
      <c r="X597" s="133"/>
      <c r="Y597" s="133"/>
      <c r="Z597" s="133"/>
    </row>
    <row r="598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88"/>
      <c r="S598" s="133"/>
      <c r="T598" s="133"/>
      <c r="U598" s="133"/>
      <c r="V598" s="133"/>
      <c r="W598" s="133"/>
      <c r="X598" s="133"/>
      <c r="Y598" s="133"/>
      <c r="Z598" s="133"/>
    </row>
    <row r="599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88"/>
      <c r="S599" s="133"/>
      <c r="T599" s="133"/>
      <c r="U599" s="133"/>
      <c r="V599" s="133"/>
      <c r="W599" s="133"/>
      <c r="X599" s="133"/>
      <c r="Y599" s="133"/>
      <c r="Z599" s="133"/>
    </row>
    <row r="600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88"/>
      <c r="S600" s="133"/>
      <c r="T600" s="133"/>
      <c r="U600" s="133"/>
      <c r="V600" s="133"/>
      <c r="W600" s="133"/>
      <c r="X600" s="133"/>
      <c r="Y600" s="133"/>
      <c r="Z600" s="133"/>
    </row>
    <row r="60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88"/>
      <c r="S601" s="133"/>
      <c r="T601" s="133"/>
      <c r="U601" s="133"/>
      <c r="V601" s="133"/>
      <c r="W601" s="133"/>
      <c r="X601" s="133"/>
      <c r="Y601" s="133"/>
      <c r="Z601" s="133"/>
    </row>
    <row r="602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88"/>
      <c r="S602" s="133"/>
      <c r="T602" s="133"/>
      <c r="U602" s="133"/>
      <c r="V602" s="133"/>
      <c r="W602" s="133"/>
      <c r="X602" s="133"/>
      <c r="Y602" s="133"/>
      <c r="Z602" s="133"/>
    </row>
    <row r="603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88"/>
      <c r="S603" s="133"/>
      <c r="T603" s="133"/>
      <c r="U603" s="133"/>
      <c r="V603" s="133"/>
      <c r="W603" s="133"/>
      <c r="X603" s="133"/>
      <c r="Y603" s="133"/>
      <c r="Z603" s="133"/>
    </row>
    <row r="604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88"/>
      <c r="S604" s="133"/>
      <c r="T604" s="133"/>
      <c r="U604" s="133"/>
      <c r="V604" s="133"/>
      <c r="W604" s="133"/>
      <c r="X604" s="133"/>
      <c r="Y604" s="133"/>
      <c r="Z604" s="133"/>
    </row>
    <row r="605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88"/>
      <c r="S605" s="133"/>
      <c r="T605" s="133"/>
      <c r="U605" s="133"/>
      <c r="V605" s="133"/>
      <c r="W605" s="133"/>
      <c r="X605" s="133"/>
      <c r="Y605" s="133"/>
      <c r="Z605" s="133"/>
    </row>
    <row r="606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88"/>
      <c r="S606" s="133"/>
      <c r="T606" s="133"/>
      <c r="U606" s="133"/>
      <c r="V606" s="133"/>
      <c r="W606" s="133"/>
      <c r="X606" s="133"/>
      <c r="Y606" s="133"/>
      <c r="Z606" s="133"/>
    </row>
    <row r="607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88"/>
      <c r="S607" s="133"/>
      <c r="T607" s="133"/>
      <c r="U607" s="133"/>
      <c r="V607" s="133"/>
      <c r="W607" s="133"/>
      <c r="X607" s="133"/>
      <c r="Y607" s="133"/>
      <c r="Z607" s="133"/>
    </row>
    <row r="608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88"/>
      <c r="S608" s="133"/>
      <c r="T608" s="133"/>
      <c r="U608" s="133"/>
      <c r="V608" s="133"/>
      <c r="W608" s="133"/>
      <c r="X608" s="133"/>
      <c r="Y608" s="133"/>
      <c r="Z608" s="133"/>
    </row>
    <row r="609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88"/>
      <c r="S609" s="133"/>
      <c r="T609" s="133"/>
      <c r="U609" s="133"/>
      <c r="V609" s="133"/>
      <c r="W609" s="133"/>
      <c r="X609" s="133"/>
      <c r="Y609" s="133"/>
      <c r="Z609" s="133"/>
    </row>
    <row r="610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88"/>
      <c r="S610" s="133"/>
      <c r="T610" s="133"/>
      <c r="U610" s="133"/>
      <c r="V610" s="133"/>
      <c r="W610" s="133"/>
      <c r="X610" s="133"/>
      <c r="Y610" s="133"/>
      <c r="Z610" s="133"/>
    </row>
    <row r="61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88"/>
      <c r="S611" s="133"/>
      <c r="T611" s="133"/>
      <c r="U611" s="133"/>
      <c r="V611" s="133"/>
      <c r="W611" s="133"/>
      <c r="X611" s="133"/>
      <c r="Y611" s="133"/>
      <c r="Z611" s="133"/>
    </row>
    <row r="612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88"/>
      <c r="S612" s="133"/>
      <c r="T612" s="133"/>
      <c r="U612" s="133"/>
      <c r="V612" s="133"/>
      <c r="W612" s="133"/>
      <c r="X612" s="133"/>
      <c r="Y612" s="133"/>
      <c r="Z612" s="133"/>
    </row>
    <row r="613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88"/>
      <c r="S613" s="133"/>
      <c r="T613" s="133"/>
      <c r="U613" s="133"/>
      <c r="V613" s="133"/>
      <c r="W613" s="133"/>
      <c r="X613" s="133"/>
      <c r="Y613" s="133"/>
      <c r="Z613" s="133"/>
    </row>
    <row r="614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88"/>
      <c r="S614" s="133"/>
      <c r="T614" s="133"/>
      <c r="U614" s="133"/>
      <c r="V614" s="133"/>
      <c r="W614" s="133"/>
      <c r="X614" s="133"/>
      <c r="Y614" s="133"/>
      <c r="Z614" s="133"/>
    </row>
    <row r="615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88"/>
      <c r="S615" s="133"/>
      <c r="T615" s="133"/>
      <c r="U615" s="133"/>
      <c r="V615" s="133"/>
      <c r="W615" s="133"/>
      <c r="X615" s="133"/>
      <c r="Y615" s="133"/>
      <c r="Z615" s="133"/>
    </row>
    <row r="616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88"/>
      <c r="S616" s="133"/>
      <c r="T616" s="133"/>
      <c r="U616" s="133"/>
      <c r="V616" s="133"/>
      <c r="W616" s="133"/>
      <c r="X616" s="133"/>
      <c r="Y616" s="133"/>
      <c r="Z616" s="133"/>
    </row>
    <row r="617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88"/>
      <c r="S617" s="133"/>
      <c r="T617" s="133"/>
      <c r="U617" s="133"/>
      <c r="V617" s="133"/>
      <c r="W617" s="133"/>
      <c r="X617" s="133"/>
      <c r="Y617" s="133"/>
      <c r="Z617" s="133"/>
    </row>
    <row r="618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88"/>
      <c r="S618" s="133"/>
      <c r="T618" s="133"/>
      <c r="U618" s="133"/>
      <c r="V618" s="133"/>
      <c r="W618" s="133"/>
      <c r="X618" s="133"/>
      <c r="Y618" s="133"/>
      <c r="Z618" s="133"/>
    </row>
    <row r="619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88"/>
      <c r="S619" s="133"/>
      <c r="T619" s="133"/>
      <c r="U619" s="133"/>
      <c r="V619" s="133"/>
      <c r="W619" s="133"/>
      <c r="X619" s="133"/>
      <c r="Y619" s="133"/>
      <c r="Z619" s="133"/>
    </row>
    <row r="620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88"/>
      <c r="S620" s="133"/>
      <c r="T620" s="133"/>
      <c r="U620" s="133"/>
      <c r="V620" s="133"/>
      <c r="W620" s="133"/>
      <c r="X620" s="133"/>
      <c r="Y620" s="133"/>
      <c r="Z620" s="133"/>
    </row>
    <row r="62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88"/>
      <c r="S621" s="133"/>
      <c r="T621" s="133"/>
      <c r="U621" s="133"/>
      <c r="V621" s="133"/>
      <c r="W621" s="133"/>
      <c r="X621" s="133"/>
      <c r="Y621" s="133"/>
      <c r="Z621" s="133"/>
    </row>
    <row r="622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88"/>
      <c r="S622" s="133"/>
      <c r="T622" s="133"/>
      <c r="U622" s="133"/>
      <c r="V622" s="133"/>
      <c r="W622" s="133"/>
      <c r="X622" s="133"/>
      <c r="Y622" s="133"/>
      <c r="Z622" s="133"/>
    </row>
    <row r="623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88"/>
      <c r="S623" s="133"/>
      <c r="T623" s="133"/>
      <c r="U623" s="133"/>
      <c r="V623" s="133"/>
      <c r="W623" s="133"/>
      <c r="X623" s="133"/>
      <c r="Y623" s="133"/>
      <c r="Z623" s="133"/>
    </row>
    <row r="624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88"/>
      <c r="S624" s="133"/>
      <c r="T624" s="133"/>
      <c r="U624" s="133"/>
      <c r="V624" s="133"/>
      <c r="W624" s="133"/>
      <c r="X624" s="133"/>
      <c r="Y624" s="133"/>
      <c r="Z624" s="133"/>
    </row>
    <row r="625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88"/>
      <c r="S625" s="133"/>
      <c r="T625" s="133"/>
      <c r="U625" s="133"/>
      <c r="V625" s="133"/>
      <c r="W625" s="133"/>
      <c r="X625" s="133"/>
      <c r="Y625" s="133"/>
      <c r="Z625" s="133"/>
    </row>
    <row r="626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88"/>
      <c r="S626" s="133"/>
      <c r="T626" s="133"/>
      <c r="U626" s="133"/>
      <c r="V626" s="133"/>
      <c r="W626" s="133"/>
      <c r="X626" s="133"/>
      <c r="Y626" s="133"/>
      <c r="Z626" s="133"/>
    </row>
    <row r="627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88"/>
      <c r="S627" s="133"/>
      <c r="T627" s="133"/>
      <c r="U627" s="133"/>
      <c r="V627" s="133"/>
      <c r="W627" s="133"/>
      <c r="X627" s="133"/>
      <c r="Y627" s="133"/>
      <c r="Z627" s="133"/>
    </row>
    <row r="628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88"/>
      <c r="S628" s="133"/>
      <c r="T628" s="133"/>
      <c r="U628" s="133"/>
      <c r="V628" s="133"/>
      <c r="W628" s="133"/>
      <c r="X628" s="133"/>
      <c r="Y628" s="133"/>
      <c r="Z628" s="133"/>
    </row>
    <row r="629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88"/>
      <c r="S629" s="133"/>
      <c r="T629" s="133"/>
      <c r="U629" s="133"/>
      <c r="V629" s="133"/>
      <c r="W629" s="133"/>
      <c r="X629" s="133"/>
      <c r="Y629" s="133"/>
      <c r="Z629" s="133"/>
    </row>
    <row r="630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88"/>
      <c r="S630" s="133"/>
      <c r="T630" s="133"/>
      <c r="U630" s="133"/>
      <c r="V630" s="133"/>
      <c r="W630" s="133"/>
      <c r="X630" s="133"/>
      <c r="Y630" s="133"/>
      <c r="Z630" s="133"/>
    </row>
    <row r="63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88"/>
      <c r="S631" s="133"/>
      <c r="T631" s="133"/>
      <c r="U631" s="133"/>
      <c r="V631" s="133"/>
      <c r="W631" s="133"/>
      <c r="X631" s="133"/>
      <c r="Y631" s="133"/>
      <c r="Z631" s="133"/>
    </row>
    <row r="632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88"/>
      <c r="S632" s="133"/>
      <c r="T632" s="133"/>
      <c r="U632" s="133"/>
      <c r="V632" s="133"/>
      <c r="W632" s="133"/>
      <c r="X632" s="133"/>
      <c r="Y632" s="133"/>
      <c r="Z632" s="133"/>
    </row>
    <row r="633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88"/>
      <c r="S633" s="133"/>
      <c r="T633" s="133"/>
      <c r="U633" s="133"/>
      <c r="V633" s="133"/>
      <c r="W633" s="133"/>
      <c r="X633" s="133"/>
      <c r="Y633" s="133"/>
      <c r="Z633" s="133"/>
    </row>
    <row r="634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88"/>
      <c r="S634" s="133"/>
      <c r="T634" s="133"/>
      <c r="U634" s="133"/>
      <c r="V634" s="133"/>
      <c r="W634" s="133"/>
      <c r="X634" s="133"/>
      <c r="Y634" s="133"/>
      <c r="Z634" s="133"/>
    </row>
    <row r="635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88"/>
      <c r="S635" s="133"/>
      <c r="T635" s="133"/>
      <c r="U635" s="133"/>
      <c r="V635" s="133"/>
      <c r="W635" s="133"/>
      <c r="X635" s="133"/>
      <c r="Y635" s="133"/>
      <c r="Z635" s="133"/>
    </row>
    <row r="636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88"/>
      <c r="S636" s="133"/>
      <c r="T636" s="133"/>
      <c r="U636" s="133"/>
      <c r="V636" s="133"/>
      <c r="W636" s="133"/>
      <c r="X636" s="133"/>
      <c r="Y636" s="133"/>
      <c r="Z636" s="133"/>
    </row>
    <row r="637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88"/>
      <c r="S637" s="133"/>
      <c r="T637" s="133"/>
      <c r="U637" s="133"/>
      <c r="V637" s="133"/>
      <c r="W637" s="133"/>
      <c r="X637" s="133"/>
      <c r="Y637" s="133"/>
      <c r="Z637" s="133"/>
    </row>
    <row r="638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88"/>
      <c r="S638" s="133"/>
      <c r="T638" s="133"/>
      <c r="U638" s="133"/>
      <c r="V638" s="133"/>
      <c r="W638" s="133"/>
      <c r="X638" s="133"/>
      <c r="Y638" s="133"/>
      <c r="Z638" s="133"/>
    </row>
    <row r="639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88"/>
      <c r="S639" s="133"/>
      <c r="T639" s="133"/>
      <c r="U639" s="133"/>
      <c r="V639" s="133"/>
      <c r="W639" s="133"/>
      <c r="X639" s="133"/>
      <c r="Y639" s="133"/>
      <c r="Z639" s="133"/>
    </row>
    <row r="640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88"/>
      <c r="S640" s="133"/>
      <c r="T640" s="133"/>
      <c r="U640" s="133"/>
      <c r="V640" s="133"/>
      <c r="W640" s="133"/>
      <c r="X640" s="133"/>
      <c r="Y640" s="133"/>
      <c r="Z640" s="133"/>
    </row>
    <row r="64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88"/>
      <c r="S641" s="133"/>
      <c r="T641" s="133"/>
      <c r="U641" s="133"/>
      <c r="V641" s="133"/>
      <c r="W641" s="133"/>
      <c r="X641" s="133"/>
      <c r="Y641" s="133"/>
      <c r="Z641" s="133"/>
    </row>
    <row r="642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88"/>
      <c r="S642" s="133"/>
      <c r="T642" s="133"/>
      <c r="U642" s="133"/>
      <c r="V642" s="133"/>
      <c r="W642" s="133"/>
      <c r="X642" s="133"/>
      <c r="Y642" s="133"/>
      <c r="Z642" s="133"/>
    </row>
    <row r="643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88"/>
      <c r="S643" s="133"/>
      <c r="T643" s="133"/>
      <c r="U643" s="133"/>
      <c r="V643" s="133"/>
      <c r="W643" s="133"/>
      <c r="X643" s="133"/>
      <c r="Y643" s="133"/>
      <c r="Z643" s="133"/>
    </row>
    <row r="644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88"/>
      <c r="S644" s="133"/>
      <c r="T644" s="133"/>
      <c r="U644" s="133"/>
      <c r="V644" s="133"/>
      <c r="W644" s="133"/>
      <c r="X644" s="133"/>
      <c r="Y644" s="133"/>
      <c r="Z644" s="133"/>
    </row>
    <row r="645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88"/>
      <c r="S645" s="133"/>
      <c r="T645" s="133"/>
      <c r="U645" s="133"/>
      <c r="V645" s="133"/>
      <c r="W645" s="133"/>
      <c r="X645" s="133"/>
      <c r="Y645" s="133"/>
      <c r="Z645" s="133"/>
    </row>
    <row r="646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88"/>
      <c r="S646" s="133"/>
      <c r="T646" s="133"/>
      <c r="U646" s="133"/>
      <c r="V646" s="133"/>
      <c r="W646" s="133"/>
      <c r="X646" s="133"/>
      <c r="Y646" s="133"/>
      <c r="Z646" s="133"/>
    </row>
    <row r="647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88"/>
      <c r="S647" s="133"/>
      <c r="T647" s="133"/>
      <c r="U647" s="133"/>
      <c r="V647" s="133"/>
      <c r="W647" s="133"/>
      <c r="X647" s="133"/>
      <c r="Y647" s="133"/>
      <c r="Z647" s="133"/>
    </row>
    <row r="648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88"/>
      <c r="S648" s="133"/>
      <c r="T648" s="133"/>
      <c r="U648" s="133"/>
      <c r="V648" s="133"/>
      <c r="W648" s="133"/>
      <c r="X648" s="133"/>
      <c r="Y648" s="133"/>
      <c r="Z648" s="133"/>
    </row>
    <row r="649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88"/>
      <c r="S649" s="133"/>
      <c r="T649" s="133"/>
      <c r="U649" s="133"/>
      <c r="V649" s="133"/>
      <c r="W649" s="133"/>
      <c r="X649" s="133"/>
      <c r="Y649" s="133"/>
      <c r="Z649" s="133"/>
    </row>
    <row r="650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88"/>
      <c r="S650" s="133"/>
      <c r="T650" s="133"/>
      <c r="U650" s="133"/>
      <c r="V650" s="133"/>
      <c r="W650" s="133"/>
      <c r="X650" s="133"/>
      <c r="Y650" s="133"/>
      <c r="Z650" s="133"/>
    </row>
    <row r="65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88"/>
      <c r="S651" s="133"/>
      <c r="T651" s="133"/>
      <c r="U651" s="133"/>
      <c r="V651" s="133"/>
      <c r="W651" s="133"/>
      <c r="X651" s="133"/>
      <c r="Y651" s="133"/>
      <c r="Z651" s="133"/>
    </row>
    <row r="652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88"/>
      <c r="S652" s="133"/>
      <c r="T652" s="133"/>
      <c r="U652" s="133"/>
      <c r="V652" s="133"/>
      <c r="W652" s="133"/>
      <c r="X652" s="133"/>
      <c r="Y652" s="133"/>
      <c r="Z652" s="133"/>
    </row>
    <row r="653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88"/>
      <c r="S653" s="133"/>
      <c r="T653" s="133"/>
      <c r="U653" s="133"/>
      <c r="V653" s="133"/>
      <c r="W653" s="133"/>
      <c r="X653" s="133"/>
      <c r="Y653" s="133"/>
      <c r="Z653" s="133"/>
    </row>
    <row r="654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88"/>
      <c r="S654" s="133"/>
      <c r="T654" s="133"/>
      <c r="U654" s="133"/>
      <c r="V654" s="133"/>
      <c r="W654" s="133"/>
      <c r="X654" s="133"/>
      <c r="Y654" s="133"/>
      <c r="Z654" s="133"/>
    </row>
    <row r="655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88"/>
      <c r="S655" s="133"/>
      <c r="T655" s="133"/>
      <c r="U655" s="133"/>
      <c r="V655" s="133"/>
      <c r="W655" s="133"/>
      <c r="X655" s="133"/>
      <c r="Y655" s="133"/>
      <c r="Z655" s="133"/>
    </row>
    <row r="656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88"/>
      <c r="S656" s="133"/>
      <c r="T656" s="133"/>
      <c r="U656" s="133"/>
      <c r="V656" s="133"/>
      <c r="W656" s="133"/>
      <c r="X656" s="133"/>
      <c r="Y656" s="133"/>
      <c r="Z656" s="133"/>
    </row>
    <row r="657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88"/>
      <c r="S657" s="133"/>
      <c r="T657" s="133"/>
      <c r="U657" s="133"/>
      <c r="V657" s="133"/>
      <c r="W657" s="133"/>
      <c r="X657" s="133"/>
      <c r="Y657" s="133"/>
      <c r="Z657" s="133"/>
    </row>
    <row r="658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88"/>
      <c r="S658" s="133"/>
      <c r="T658" s="133"/>
      <c r="U658" s="133"/>
      <c r="V658" s="133"/>
      <c r="W658" s="133"/>
      <c r="X658" s="133"/>
      <c r="Y658" s="133"/>
      <c r="Z658" s="133"/>
    </row>
    <row r="659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88"/>
      <c r="S659" s="133"/>
      <c r="T659" s="133"/>
      <c r="U659" s="133"/>
      <c r="V659" s="133"/>
      <c r="W659" s="133"/>
      <c r="X659" s="133"/>
      <c r="Y659" s="133"/>
      <c r="Z659" s="133"/>
    </row>
    <row r="660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88"/>
      <c r="S660" s="133"/>
      <c r="T660" s="133"/>
      <c r="U660" s="133"/>
      <c r="V660" s="133"/>
      <c r="W660" s="133"/>
      <c r="X660" s="133"/>
      <c r="Y660" s="133"/>
      <c r="Z660" s="133"/>
    </row>
    <row r="66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88"/>
      <c r="S661" s="133"/>
      <c r="T661" s="133"/>
      <c r="U661" s="133"/>
      <c r="V661" s="133"/>
      <c r="W661" s="133"/>
      <c r="X661" s="133"/>
      <c r="Y661" s="133"/>
      <c r="Z661" s="133"/>
    </row>
    <row r="662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88"/>
      <c r="S662" s="133"/>
      <c r="T662" s="133"/>
      <c r="U662" s="133"/>
      <c r="V662" s="133"/>
      <c r="W662" s="133"/>
      <c r="X662" s="133"/>
      <c r="Y662" s="133"/>
      <c r="Z662" s="133"/>
    </row>
    <row r="663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88"/>
      <c r="S663" s="133"/>
      <c r="T663" s="133"/>
      <c r="U663" s="133"/>
      <c r="V663" s="133"/>
      <c r="W663" s="133"/>
      <c r="X663" s="133"/>
      <c r="Y663" s="133"/>
      <c r="Z663" s="133"/>
    </row>
    <row r="664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88"/>
      <c r="S664" s="133"/>
      <c r="T664" s="133"/>
      <c r="U664" s="133"/>
      <c r="V664" s="133"/>
      <c r="W664" s="133"/>
      <c r="X664" s="133"/>
      <c r="Y664" s="133"/>
      <c r="Z664" s="133"/>
    </row>
    <row r="665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88"/>
      <c r="S665" s="133"/>
      <c r="T665" s="133"/>
      <c r="U665" s="133"/>
      <c r="V665" s="133"/>
      <c r="W665" s="133"/>
      <c r="X665" s="133"/>
      <c r="Y665" s="133"/>
      <c r="Z665" s="133"/>
    </row>
    <row r="666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88"/>
      <c r="S666" s="133"/>
      <c r="T666" s="133"/>
      <c r="U666" s="133"/>
      <c r="V666" s="133"/>
      <c r="W666" s="133"/>
      <c r="X666" s="133"/>
      <c r="Y666" s="133"/>
      <c r="Z666" s="133"/>
    </row>
    <row r="667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88"/>
      <c r="S667" s="133"/>
      <c r="T667" s="133"/>
      <c r="U667" s="133"/>
      <c r="V667" s="133"/>
      <c r="W667" s="133"/>
      <c r="X667" s="133"/>
      <c r="Y667" s="133"/>
      <c r="Z667" s="133"/>
    </row>
    <row r="668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88"/>
      <c r="S668" s="133"/>
      <c r="T668" s="133"/>
      <c r="U668" s="133"/>
      <c r="V668" s="133"/>
      <c r="W668" s="133"/>
      <c r="X668" s="133"/>
      <c r="Y668" s="133"/>
      <c r="Z668" s="133"/>
    </row>
    <row r="669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88"/>
      <c r="S669" s="133"/>
      <c r="T669" s="133"/>
      <c r="U669" s="133"/>
      <c r="V669" s="133"/>
      <c r="W669" s="133"/>
      <c r="X669" s="133"/>
      <c r="Y669" s="133"/>
      <c r="Z669" s="133"/>
    </row>
    <row r="670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88"/>
      <c r="S670" s="133"/>
      <c r="T670" s="133"/>
      <c r="U670" s="133"/>
      <c r="V670" s="133"/>
      <c r="W670" s="133"/>
      <c r="X670" s="133"/>
      <c r="Y670" s="133"/>
      <c r="Z670" s="133"/>
    </row>
    <row r="67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88"/>
      <c r="S671" s="133"/>
      <c r="T671" s="133"/>
      <c r="U671" s="133"/>
      <c r="V671" s="133"/>
      <c r="W671" s="133"/>
      <c r="X671" s="133"/>
      <c r="Y671" s="133"/>
      <c r="Z671" s="133"/>
    </row>
    <row r="672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88"/>
      <c r="S672" s="133"/>
      <c r="T672" s="133"/>
      <c r="U672" s="133"/>
      <c r="V672" s="133"/>
      <c r="W672" s="133"/>
      <c r="X672" s="133"/>
      <c r="Y672" s="133"/>
      <c r="Z672" s="133"/>
    </row>
    <row r="673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88"/>
      <c r="S673" s="133"/>
      <c r="T673" s="133"/>
      <c r="U673" s="133"/>
      <c r="V673" s="133"/>
      <c r="W673" s="133"/>
      <c r="X673" s="133"/>
      <c r="Y673" s="133"/>
      <c r="Z673" s="133"/>
    </row>
    <row r="674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88"/>
      <c r="S674" s="133"/>
      <c r="T674" s="133"/>
      <c r="U674" s="133"/>
      <c r="V674" s="133"/>
      <c r="W674" s="133"/>
      <c r="X674" s="133"/>
      <c r="Y674" s="133"/>
      <c r="Z674" s="133"/>
    </row>
    <row r="675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88"/>
      <c r="S675" s="133"/>
      <c r="T675" s="133"/>
      <c r="U675" s="133"/>
      <c r="V675" s="133"/>
      <c r="W675" s="133"/>
      <c r="X675" s="133"/>
      <c r="Y675" s="133"/>
      <c r="Z675" s="133"/>
    </row>
    <row r="676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88"/>
      <c r="S676" s="133"/>
      <c r="T676" s="133"/>
      <c r="U676" s="133"/>
      <c r="V676" s="133"/>
      <c r="W676" s="133"/>
      <c r="X676" s="133"/>
      <c r="Y676" s="133"/>
      <c r="Z676" s="133"/>
    </row>
    <row r="677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88"/>
      <c r="S677" s="133"/>
      <c r="T677" s="133"/>
      <c r="U677" s="133"/>
      <c r="V677" s="133"/>
      <c r="W677" s="133"/>
      <c r="X677" s="133"/>
      <c r="Y677" s="133"/>
      <c r="Z677" s="133"/>
    </row>
    <row r="678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88"/>
      <c r="S678" s="133"/>
      <c r="T678" s="133"/>
      <c r="U678" s="133"/>
      <c r="V678" s="133"/>
      <c r="W678" s="133"/>
      <c r="X678" s="133"/>
      <c r="Y678" s="133"/>
      <c r="Z678" s="133"/>
    </row>
    <row r="679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88"/>
      <c r="S679" s="133"/>
      <c r="T679" s="133"/>
      <c r="U679" s="133"/>
      <c r="V679" s="133"/>
      <c r="W679" s="133"/>
      <c r="X679" s="133"/>
      <c r="Y679" s="133"/>
      <c r="Z679" s="133"/>
    </row>
    <row r="680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88"/>
      <c r="S680" s="133"/>
      <c r="T680" s="133"/>
      <c r="U680" s="133"/>
      <c r="V680" s="133"/>
      <c r="W680" s="133"/>
      <c r="X680" s="133"/>
      <c r="Y680" s="133"/>
      <c r="Z680" s="133"/>
    </row>
    <row r="68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88"/>
      <c r="S681" s="133"/>
      <c r="T681" s="133"/>
      <c r="U681" s="133"/>
      <c r="V681" s="133"/>
      <c r="W681" s="133"/>
      <c r="X681" s="133"/>
      <c r="Y681" s="133"/>
      <c r="Z681" s="133"/>
    </row>
    <row r="682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88"/>
      <c r="S682" s="133"/>
      <c r="T682" s="133"/>
      <c r="U682" s="133"/>
      <c r="V682" s="133"/>
      <c r="W682" s="133"/>
      <c r="X682" s="133"/>
      <c r="Y682" s="133"/>
      <c r="Z682" s="133"/>
    </row>
    <row r="683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88"/>
      <c r="S683" s="133"/>
      <c r="T683" s="133"/>
      <c r="U683" s="133"/>
      <c r="V683" s="133"/>
      <c r="W683" s="133"/>
      <c r="X683" s="133"/>
      <c r="Y683" s="133"/>
      <c r="Z683" s="133"/>
    </row>
    <row r="684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88"/>
      <c r="S684" s="133"/>
      <c r="T684" s="133"/>
      <c r="U684" s="133"/>
      <c r="V684" s="133"/>
      <c r="W684" s="133"/>
      <c r="X684" s="133"/>
      <c r="Y684" s="133"/>
      <c r="Z684" s="133"/>
    </row>
    <row r="685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88"/>
      <c r="S685" s="133"/>
      <c r="T685" s="133"/>
      <c r="U685" s="133"/>
      <c r="V685" s="133"/>
      <c r="W685" s="133"/>
      <c r="X685" s="133"/>
      <c r="Y685" s="133"/>
      <c r="Z685" s="133"/>
    </row>
    <row r="686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88"/>
      <c r="S686" s="133"/>
      <c r="T686" s="133"/>
      <c r="U686" s="133"/>
      <c r="V686" s="133"/>
      <c r="W686" s="133"/>
      <c r="X686" s="133"/>
      <c r="Y686" s="133"/>
      <c r="Z686" s="133"/>
    </row>
    <row r="687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88"/>
      <c r="S687" s="133"/>
      <c r="T687" s="133"/>
      <c r="U687" s="133"/>
      <c r="V687" s="133"/>
      <c r="W687" s="133"/>
      <c r="X687" s="133"/>
      <c r="Y687" s="133"/>
      <c r="Z687" s="133"/>
    </row>
    <row r="688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88"/>
      <c r="S688" s="133"/>
      <c r="T688" s="133"/>
      <c r="U688" s="133"/>
      <c r="V688" s="133"/>
      <c r="W688" s="133"/>
      <c r="X688" s="133"/>
      <c r="Y688" s="133"/>
      <c r="Z688" s="133"/>
    </row>
    <row r="689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88"/>
      <c r="S689" s="133"/>
      <c r="T689" s="133"/>
      <c r="U689" s="133"/>
      <c r="V689" s="133"/>
      <c r="W689" s="133"/>
      <c r="X689" s="133"/>
      <c r="Y689" s="133"/>
      <c r="Z689" s="133"/>
    </row>
    <row r="690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88"/>
      <c r="S690" s="133"/>
      <c r="T690" s="133"/>
      <c r="U690" s="133"/>
      <c r="V690" s="133"/>
      <c r="W690" s="133"/>
      <c r="X690" s="133"/>
      <c r="Y690" s="133"/>
      <c r="Z690" s="133"/>
    </row>
    <row r="69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88"/>
      <c r="S691" s="133"/>
      <c r="T691" s="133"/>
      <c r="U691" s="133"/>
      <c r="V691" s="133"/>
      <c r="W691" s="133"/>
      <c r="X691" s="133"/>
      <c r="Y691" s="133"/>
      <c r="Z691" s="133"/>
    </row>
    <row r="692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88"/>
      <c r="S692" s="133"/>
      <c r="T692" s="133"/>
      <c r="U692" s="133"/>
      <c r="V692" s="133"/>
      <c r="W692" s="133"/>
      <c r="X692" s="133"/>
      <c r="Y692" s="133"/>
      <c r="Z692" s="133"/>
    </row>
    <row r="693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88"/>
      <c r="S693" s="133"/>
      <c r="T693" s="133"/>
      <c r="U693" s="133"/>
      <c r="V693" s="133"/>
      <c r="W693" s="133"/>
      <c r="X693" s="133"/>
      <c r="Y693" s="133"/>
      <c r="Z693" s="133"/>
    </row>
    <row r="694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88"/>
      <c r="S694" s="133"/>
      <c r="T694" s="133"/>
      <c r="U694" s="133"/>
      <c r="V694" s="133"/>
      <c r="W694" s="133"/>
      <c r="X694" s="133"/>
      <c r="Y694" s="133"/>
      <c r="Z694" s="133"/>
    </row>
    <row r="695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88"/>
      <c r="S695" s="133"/>
      <c r="T695" s="133"/>
      <c r="U695" s="133"/>
      <c r="V695" s="133"/>
      <c r="W695" s="133"/>
      <c r="X695" s="133"/>
      <c r="Y695" s="133"/>
      <c r="Z695" s="133"/>
    </row>
    <row r="696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88"/>
      <c r="S696" s="133"/>
      <c r="T696" s="133"/>
      <c r="U696" s="133"/>
      <c r="V696" s="133"/>
      <c r="W696" s="133"/>
      <c r="X696" s="133"/>
      <c r="Y696" s="133"/>
      <c r="Z696" s="133"/>
    </row>
    <row r="697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88"/>
      <c r="S697" s="133"/>
      <c r="T697" s="133"/>
      <c r="U697" s="133"/>
      <c r="V697" s="133"/>
      <c r="W697" s="133"/>
      <c r="X697" s="133"/>
      <c r="Y697" s="133"/>
      <c r="Z697" s="133"/>
    </row>
    <row r="698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88"/>
      <c r="S698" s="133"/>
      <c r="T698" s="133"/>
      <c r="U698" s="133"/>
      <c r="V698" s="133"/>
      <c r="W698" s="133"/>
      <c r="X698" s="133"/>
      <c r="Y698" s="133"/>
      <c r="Z698" s="133"/>
    </row>
    <row r="699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88"/>
      <c r="S699" s="133"/>
      <c r="T699" s="133"/>
      <c r="U699" s="133"/>
      <c r="V699" s="133"/>
      <c r="W699" s="133"/>
      <c r="X699" s="133"/>
      <c r="Y699" s="133"/>
      <c r="Z699" s="133"/>
    </row>
    <row r="700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88"/>
      <c r="S700" s="133"/>
      <c r="T700" s="133"/>
      <c r="U700" s="133"/>
      <c r="V700" s="133"/>
      <c r="W700" s="133"/>
      <c r="X700" s="133"/>
      <c r="Y700" s="133"/>
      <c r="Z700" s="133"/>
    </row>
    <row r="70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88"/>
      <c r="S701" s="133"/>
      <c r="T701" s="133"/>
      <c r="U701" s="133"/>
      <c r="V701" s="133"/>
      <c r="W701" s="133"/>
      <c r="X701" s="133"/>
      <c r="Y701" s="133"/>
      <c r="Z701" s="133"/>
    </row>
    <row r="702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88"/>
      <c r="S702" s="133"/>
      <c r="T702" s="133"/>
      <c r="U702" s="133"/>
      <c r="V702" s="133"/>
      <c r="W702" s="133"/>
      <c r="X702" s="133"/>
      <c r="Y702" s="133"/>
      <c r="Z702" s="133"/>
    </row>
    <row r="703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88"/>
      <c r="S703" s="133"/>
      <c r="T703" s="133"/>
      <c r="U703" s="133"/>
      <c r="V703" s="133"/>
      <c r="W703" s="133"/>
      <c r="X703" s="133"/>
      <c r="Y703" s="133"/>
      <c r="Z703" s="133"/>
    </row>
    <row r="704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88"/>
      <c r="S704" s="133"/>
      <c r="T704" s="133"/>
      <c r="U704" s="133"/>
      <c r="V704" s="133"/>
      <c r="W704" s="133"/>
      <c r="X704" s="133"/>
      <c r="Y704" s="133"/>
      <c r="Z704" s="133"/>
    </row>
    <row r="705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88"/>
      <c r="S705" s="133"/>
      <c r="T705" s="133"/>
      <c r="U705" s="133"/>
      <c r="V705" s="133"/>
      <c r="W705" s="133"/>
      <c r="X705" s="133"/>
      <c r="Y705" s="133"/>
      <c r="Z705" s="133"/>
    </row>
    <row r="706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88"/>
      <c r="S706" s="133"/>
      <c r="T706" s="133"/>
      <c r="U706" s="133"/>
      <c r="V706" s="133"/>
      <c r="W706" s="133"/>
      <c r="X706" s="133"/>
      <c r="Y706" s="133"/>
      <c r="Z706" s="133"/>
    </row>
    <row r="707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88"/>
      <c r="S707" s="133"/>
      <c r="T707" s="133"/>
      <c r="U707" s="133"/>
      <c r="V707" s="133"/>
      <c r="W707" s="133"/>
      <c r="X707" s="133"/>
      <c r="Y707" s="133"/>
      <c r="Z707" s="133"/>
    </row>
    <row r="708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88"/>
      <c r="S708" s="133"/>
      <c r="T708" s="133"/>
      <c r="U708" s="133"/>
      <c r="V708" s="133"/>
      <c r="W708" s="133"/>
      <c r="X708" s="133"/>
      <c r="Y708" s="133"/>
      <c r="Z708" s="133"/>
    </row>
    <row r="709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88"/>
      <c r="S709" s="133"/>
      <c r="T709" s="133"/>
      <c r="U709" s="133"/>
      <c r="V709" s="133"/>
      <c r="W709" s="133"/>
      <c r="X709" s="133"/>
      <c r="Y709" s="133"/>
      <c r="Z709" s="133"/>
    </row>
    <row r="710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88"/>
      <c r="S710" s="133"/>
      <c r="T710" s="133"/>
      <c r="U710" s="133"/>
      <c r="V710" s="133"/>
      <c r="W710" s="133"/>
      <c r="X710" s="133"/>
      <c r="Y710" s="133"/>
      <c r="Z710" s="133"/>
    </row>
    <row r="71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88"/>
      <c r="S711" s="133"/>
      <c r="T711" s="133"/>
      <c r="U711" s="133"/>
      <c r="V711" s="133"/>
      <c r="W711" s="133"/>
      <c r="X711" s="133"/>
      <c r="Y711" s="133"/>
      <c r="Z711" s="133"/>
    </row>
    <row r="712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88"/>
      <c r="S712" s="133"/>
      <c r="T712" s="133"/>
      <c r="U712" s="133"/>
      <c r="V712" s="133"/>
      <c r="W712" s="133"/>
      <c r="X712" s="133"/>
      <c r="Y712" s="133"/>
      <c r="Z712" s="133"/>
    </row>
    <row r="713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88"/>
      <c r="S713" s="133"/>
      <c r="T713" s="133"/>
      <c r="U713" s="133"/>
      <c r="V713" s="133"/>
      <c r="W713" s="133"/>
      <c r="X713" s="133"/>
      <c r="Y713" s="133"/>
      <c r="Z713" s="133"/>
    </row>
    <row r="714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88"/>
      <c r="S714" s="133"/>
      <c r="T714" s="133"/>
      <c r="U714" s="133"/>
      <c r="V714" s="133"/>
      <c r="W714" s="133"/>
      <c r="X714" s="133"/>
      <c r="Y714" s="133"/>
      <c r="Z714" s="133"/>
    </row>
    <row r="715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88"/>
      <c r="S715" s="133"/>
      <c r="T715" s="133"/>
      <c r="U715" s="133"/>
      <c r="V715" s="133"/>
      <c r="W715" s="133"/>
      <c r="X715" s="133"/>
      <c r="Y715" s="133"/>
      <c r="Z715" s="133"/>
    </row>
    <row r="716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88"/>
      <c r="S716" s="133"/>
      <c r="T716" s="133"/>
      <c r="U716" s="133"/>
      <c r="V716" s="133"/>
      <c r="W716" s="133"/>
      <c r="X716" s="133"/>
      <c r="Y716" s="133"/>
      <c r="Z716" s="133"/>
    </row>
    <row r="717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88"/>
      <c r="S717" s="133"/>
      <c r="T717" s="133"/>
      <c r="U717" s="133"/>
      <c r="V717" s="133"/>
      <c r="W717" s="133"/>
      <c r="X717" s="133"/>
      <c r="Y717" s="133"/>
      <c r="Z717" s="133"/>
    </row>
    <row r="718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88"/>
      <c r="S718" s="133"/>
      <c r="T718" s="133"/>
      <c r="U718" s="133"/>
      <c r="V718" s="133"/>
      <c r="W718" s="133"/>
      <c r="X718" s="133"/>
      <c r="Y718" s="133"/>
      <c r="Z718" s="133"/>
    </row>
    <row r="719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88"/>
      <c r="S719" s="133"/>
      <c r="T719" s="133"/>
      <c r="U719" s="133"/>
      <c r="V719" s="133"/>
      <c r="W719" s="133"/>
      <c r="X719" s="133"/>
      <c r="Y719" s="133"/>
      <c r="Z719" s="133"/>
    </row>
    <row r="720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88"/>
      <c r="S720" s="133"/>
      <c r="T720" s="133"/>
      <c r="U720" s="133"/>
      <c r="V720" s="133"/>
      <c r="W720" s="133"/>
      <c r="X720" s="133"/>
      <c r="Y720" s="133"/>
      <c r="Z720" s="133"/>
    </row>
    <row r="72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88"/>
      <c r="S721" s="133"/>
      <c r="T721" s="133"/>
      <c r="U721" s="133"/>
      <c r="V721" s="133"/>
      <c r="W721" s="133"/>
      <c r="X721" s="133"/>
      <c r="Y721" s="133"/>
      <c r="Z721" s="133"/>
    </row>
    <row r="722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88"/>
      <c r="S722" s="133"/>
      <c r="T722" s="133"/>
      <c r="U722" s="133"/>
      <c r="V722" s="133"/>
      <c r="W722" s="133"/>
      <c r="X722" s="133"/>
      <c r="Y722" s="133"/>
      <c r="Z722" s="133"/>
    </row>
    <row r="723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88"/>
      <c r="S723" s="133"/>
      <c r="T723" s="133"/>
      <c r="U723" s="133"/>
      <c r="V723" s="133"/>
      <c r="W723" s="133"/>
      <c r="X723" s="133"/>
      <c r="Y723" s="133"/>
      <c r="Z723" s="133"/>
    </row>
    <row r="724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88"/>
      <c r="S724" s="133"/>
      <c r="T724" s="133"/>
      <c r="U724" s="133"/>
      <c r="V724" s="133"/>
      <c r="W724" s="133"/>
      <c r="X724" s="133"/>
      <c r="Y724" s="133"/>
      <c r="Z724" s="133"/>
    </row>
    <row r="725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88"/>
      <c r="S725" s="133"/>
      <c r="T725" s="133"/>
      <c r="U725" s="133"/>
      <c r="V725" s="133"/>
      <c r="W725" s="133"/>
      <c r="X725" s="133"/>
      <c r="Y725" s="133"/>
      <c r="Z725" s="133"/>
    </row>
    <row r="726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88"/>
      <c r="S726" s="133"/>
      <c r="T726" s="133"/>
      <c r="U726" s="133"/>
      <c r="V726" s="133"/>
      <c r="W726" s="133"/>
      <c r="X726" s="133"/>
      <c r="Y726" s="133"/>
      <c r="Z726" s="133"/>
    </row>
    <row r="727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88"/>
      <c r="S727" s="133"/>
      <c r="T727" s="133"/>
      <c r="U727" s="133"/>
      <c r="V727" s="133"/>
      <c r="W727" s="133"/>
      <c r="X727" s="133"/>
      <c r="Y727" s="133"/>
      <c r="Z727" s="133"/>
    </row>
    <row r="728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88"/>
      <c r="S728" s="133"/>
      <c r="T728" s="133"/>
      <c r="U728" s="133"/>
      <c r="V728" s="133"/>
      <c r="W728" s="133"/>
      <c r="X728" s="133"/>
      <c r="Y728" s="133"/>
      <c r="Z728" s="133"/>
    </row>
    <row r="729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88"/>
      <c r="S729" s="133"/>
      <c r="T729" s="133"/>
      <c r="U729" s="133"/>
      <c r="V729" s="133"/>
      <c r="W729" s="133"/>
      <c r="X729" s="133"/>
      <c r="Y729" s="133"/>
      <c r="Z729" s="133"/>
    </row>
    <row r="730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88"/>
      <c r="S730" s="133"/>
      <c r="T730" s="133"/>
      <c r="U730" s="133"/>
      <c r="V730" s="133"/>
      <c r="W730" s="133"/>
      <c r="X730" s="133"/>
      <c r="Y730" s="133"/>
      <c r="Z730" s="133"/>
    </row>
    <row r="73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88"/>
      <c r="S731" s="133"/>
      <c r="T731" s="133"/>
      <c r="U731" s="133"/>
      <c r="V731" s="133"/>
      <c r="W731" s="133"/>
      <c r="X731" s="133"/>
      <c r="Y731" s="133"/>
      <c r="Z731" s="133"/>
    </row>
    <row r="732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88"/>
      <c r="S732" s="133"/>
      <c r="T732" s="133"/>
      <c r="U732" s="133"/>
      <c r="V732" s="133"/>
      <c r="W732" s="133"/>
      <c r="X732" s="133"/>
      <c r="Y732" s="133"/>
      <c r="Z732" s="133"/>
    </row>
    <row r="733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88"/>
      <c r="S733" s="133"/>
      <c r="T733" s="133"/>
      <c r="U733" s="133"/>
      <c r="V733" s="133"/>
      <c r="W733" s="133"/>
      <c r="X733" s="133"/>
      <c r="Y733" s="133"/>
      <c r="Z733" s="133"/>
    </row>
    <row r="734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88"/>
      <c r="S734" s="133"/>
      <c r="T734" s="133"/>
      <c r="U734" s="133"/>
      <c r="V734" s="133"/>
      <c r="W734" s="133"/>
      <c r="X734" s="133"/>
      <c r="Y734" s="133"/>
      <c r="Z734" s="133"/>
    </row>
    <row r="735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88"/>
      <c r="S735" s="133"/>
      <c r="T735" s="133"/>
      <c r="U735" s="133"/>
      <c r="V735" s="133"/>
      <c r="W735" s="133"/>
      <c r="X735" s="133"/>
      <c r="Y735" s="133"/>
      <c r="Z735" s="133"/>
    </row>
    <row r="736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88"/>
      <c r="S736" s="133"/>
      <c r="T736" s="133"/>
      <c r="U736" s="133"/>
      <c r="V736" s="133"/>
      <c r="W736" s="133"/>
      <c r="X736" s="133"/>
      <c r="Y736" s="133"/>
      <c r="Z736" s="133"/>
    </row>
    <row r="737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88"/>
      <c r="S737" s="133"/>
      <c r="T737" s="133"/>
      <c r="U737" s="133"/>
      <c r="V737" s="133"/>
      <c r="W737" s="133"/>
      <c r="X737" s="133"/>
      <c r="Y737" s="133"/>
      <c r="Z737" s="133"/>
    </row>
    <row r="738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88"/>
      <c r="S738" s="133"/>
      <c r="T738" s="133"/>
      <c r="U738" s="133"/>
      <c r="V738" s="133"/>
      <c r="W738" s="133"/>
      <c r="X738" s="133"/>
      <c r="Y738" s="133"/>
      <c r="Z738" s="133"/>
    </row>
    <row r="739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88"/>
      <c r="S739" s="133"/>
      <c r="T739" s="133"/>
      <c r="U739" s="133"/>
      <c r="V739" s="133"/>
      <c r="W739" s="133"/>
      <c r="X739" s="133"/>
      <c r="Y739" s="133"/>
      <c r="Z739" s="133"/>
    </row>
    <row r="740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88"/>
      <c r="S740" s="133"/>
      <c r="T740" s="133"/>
      <c r="U740" s="133"/>
      <c r="V740" s="133"/>
      <c r="W740" s="133"/>
      <c r="X740" s="133"/>
      <c r="Y740" s="133"/>
      <c r="Z740" s="133"/>
    </row>
    <row r="74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88"/>
      <c r="S741" s="133"/>
      <c r="T741" s="133"/>
      <c r="U741" s="133"/>
      <c r="V741" s="133"/>
      <c r="W741" s="133"/>
      <c r="X741" s="133"/>
      <c r="Y741" s="133"/>
      <c r="Z741" s="133"/>
    </row>
    <row r="742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88"/>
      <c r="S742" s="133"/>
      <c r="T742" s="133"/>
      <c r="U742" s="133"/>
      <c r="V742" s="133"/>
      <c r="W742" s="133"/>
      <c r="X742" s="133"/>
      <c r="Y742" s="133"/>
      <c r="Z742" s="133"/>
    </row>
    <row r="743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88"/>
      <c r="S743" s="133"/>
      <c r="T743" s="133"/>
      <c r="U743" s="133"/>
      <c r="V743" s="133"/>
      <c r="W743" s="133"/>
      <c r="X743" s="133"/>
      <c r="Y743" s="133"/>
      <c r="Z743" s="133"/>
    </row>
    <row r="744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88"/>
      <c r="S744" s="133"/>
      <c r="T744" s="133"/>
      <c r="U744" s="133"/>
      <c r="V744" s="133"/>
      <c r="W744" s="133"/>
      <c r="X744" s="133"/>
      <c r="Y744" s="133"/>
      <c r="Z744" s="133"/>
    </row>
    <row r="745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88"/>
      <c r="S745" s="133"/>
      <c r="T745" s="133"/>
      <c r="U745" s="133"/>
      <c r="V745" s="133"/>
      <c r="W745" s="133"/>
      <c r="X745" s="133"/>
      <c r="Y745" s="133"/>
      <c r="Z745" s="133"/>
    </row>
    <row r="746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88"/>
      <c r="S746" s="133"/>
      <c r="T746" s="133"/>
      <c r="U746" s="133"/>
      <c r="V746" s="133"/>
      <c r="W746" s="133"/>
      <c r="X746" s="133"/>
      <c r="Y746" s="133"/>
      <c r="Z746" s="133"/>
    </row>
    <row r="747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88"/>
      <c r="S747" s="133"/>
      <c r="T747" s="133"/>
      <c r="U747" s="133"/>
      <c r="V747" s="133"/>
      <c r="W747" s="133"/>
      <c r="X747" s="133"/>
      <c r="Y747" s="133"/>
      <c r="Z747" s="133"/>
    </row>
    <row r="748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88"/>
      <c r="S748" s="133"/>
      <c r="T748" s="133"/>
      <c r="U748" s="133"/>
      <c r="V748" s="133"/>
      <c r="W748" s="133"/>
      <c r="X748" s="133"/>
      <c r="Y748" s="133"/>
      <c r="Z748" s="133"/>
    </row>
    <row r="749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88"/>
      <c r="S749" s="133"/>
      <c r="T749" s="133"/>
      <c r="U749" s="133"/>
      <c r="V749" s="133"/>
      <c r="W749" s="133"/>
      <c r="X749" s="133"/>
      <c r="Y749" s="133"/>
      <c r="Z749" s="133"/>
    </row>
    <row r="750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88"/>
      <c r="S750" s="133"/>
      <c r="T750" s="133"/>
      <c r="U750" s="133"/>
      <c r="V750" s="133"/>
      <c r="W750" s="133"/>
      <c r="X750" s="133"/>
      <c r="Y750" s="133"/>
      <c r="Z750" s="133"/>
    </row>
    <row r="75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88"/>
      <c r="S751" s="133"/>
      <c r="T751" s="133"/>
      <c r="U751" s="133"/>
      <c r="V751" s="133"/>
      <c r="W751" s="133"/>
      <c r="X751" s="133"/>
      <c r="Y751" s="133"/>
      <c r="Z751" s="133"/>
    </row>
    <row r="752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88"/>
      <c r="S752" s="133"/>
      <c r="T752" s="133"/>
      <c r="U752" s="133"/>
      <c r="V752" s="133"/>
      <c r="W752" s="133"/>
      <c r="X752" s="133"/>
      <c r="Y752" s="133"/>
      <c r="Z752" s="133"/>
    </row>
    <row r="753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88"/>
      <c r="S753" s="133"/>
      <c r="T753" s="133"/>
      <c r="U753" s="133"/>
      <c r="V753" s="133"/>
      <c r="W753" s="133"/>
      <c r="X753" s="133"/>
      <c r="Y753" s="133"/>
      <c r="Z753" s="133"/>
    </row>
    <row r="754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88"/>
      <c r="S754" s="133"/>
      <c r="T754" s="133"/>
      <c r="U754" s="133"/>
      <c r="V754" s="133"/>
      <c r="W754" s="133"/>
      <c r="X754" s="133"/>
      <c r="Y754" s="133"/>
      <c r="Z754" s="133"/>
    </row>
    <row r="755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88"/>
      <c r="S755" s="133"/>
      <c r="T755" s="133"/>
      <c r="U755" s="133"/>
      <c r="V755" s="133"/>
      <c r="W755" s="133"/>
      <c r="X755" s="133"/>
      <c r="Y755" s="133"/>
      <c r="Z755" s="133"/>
    </row>
    <row r="756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88"/>
      <c r="S756" s="133"/>
      <c r="T756" s="133"/>
      <c r="U756" s="133"/>
      <c r="V756" s="133"/>
      <c r="W756" s="133"/>
      <c r="X756" s="133"/>
      <c r="Y756" s="133"/>
      <c r="Z756" s="133"/>
    </row>
    <row r="757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88"/>
      <c r="S757" s="133"/>
      <c r="T757" s="133"/>
      <c r="U757" s="133"/>
      <c r="V757" s="133"/>
      <c r="W757" s="133"/>
      <c r="X757" s="133"/>
      <c r="Y757" s="133"/>
      <c r="Z757" s="133"/>
    </row>
    <row r="758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88"/>
      <c r="S758" s="133"/>
      <c r="T758" s="133"/>
      <c r="U758" s="133"/>
      <c r="V758" s="133"/>
      <c r="W758" s="133"/>
      <c r="X758" s="133"/>
      <c r="Y758" s="133"/>
      <c r="Z758" s="133"/>
    </row>
    <row r="759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88"/>
      <c r="S759" s="133"/>
      <c r="T759" s="133"/>
      <c r="U759" s="133"/>
      <c r="V759" s="133"/>
      <c r="W759" s="133"/>
      <c r="X759" s="133"/>
      <c r="Y759" s="133"/>
      <c r="Z759" s="133"/>
    </row>
    <row r="760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88"/>
      <c r="S760" s="133"/>
      <c r="T760" s="133"/>
      <c r="U760" s="133"/>
      <c r="V760" s="133"/>
      <c r="W760" s="133"/>
      <c r="X760" s="133"/>
      <c r="Y760" s="133"/>
      <c r="Z760" s="133"/>
    </row>
    <row r="76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88"/>
      <c r="S761" s="133"/>
      <c r="T761" s="133"/>
      <c r="U761" s="133"/>
      <c r="V761" s="133"/>
      <c r="W761" s="133"/>
      <c r="X761" s="133"/>
      <c r="Y761" s="133"/>
      <c r="Z761" s="133"/>
    </row>
    <row r="762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88"/>
      <c r="S762" s="133"/>
      <c r="T762" s="133"/>
      <c r="U762" s="133"/>
      <c r="V762" s="133"/>
      <c r="W762" s="133"/>
      <c r="X762" s="133"/>
      <c r="Y762" s="133"/>
      <c r="Z762" s="133"/>
    </row>
    <row r="763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88"/>
      <c r="S763" s="133"/>
      <c r="T763" s="133"/>
      <c r="U763" s="133"/>
      <c r="V763" s="133"/>
      <c r="W763" s="133"/>
      <c r="X763" s="133"/>
      <c r="Y763" s="133"/>
      <c r="Z763" s="133"/>
    </row>
    <row r="764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88"/>
      <c r="S764" s="133"/>
      <c r="T764" s="133"/>
      <c r="U764" s="133"/>
      <c r="V764" s="133"/>
      <c r="W764" s="133"/>
      <c r="X764" s="133"/>
      <c r="Y764" s="133"/>
      <c r="Z764" s="133"/>
    </row>
    <row r="765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88"/>
      <c r="S765" s="133"/>
      <c r="T765" s="133"/>
      <c r="U765" s="133"/>
      <c r="V765" s="133"/>
      <c r="W765" s="133"/>
      <c r="X765" s="133"/>
      <c r="Y765" s="133"/>
      <c r="Z765" s="133"/>
    </row>
    <row r="766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88"/>
      <c r="S766" s="133"/>
      <c r="T766" s="133"/>
      <c r="U766" s="133"/>
      <c r="V766" s="133"/>
      <c r="W766" s="133"/>
      <c r="X766" s="133"/>
      <c r="Y766" s="133"/>
      <c r="Z766" s="133"/>
    </row>
    <row r="767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88"/>
      <c r="S767" s="133"/>
      <c r="T767" s="133"/>
      <c r="U767" s="133"/>
      <c r="V767" s="133"/>
      <c r="W767" s="133"/>
      <c r="X767" s="133"/>
      <c r="Y767" s="133"/>
      <c r="Z767" s="133"/>
    </row>
    <row r="768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88"/>
      <c r="S768" s="133"/>
      <c r="T768" s="133"/>
      <c r="U768" s="133"/>
      <c r="V768" s="133"/>
      <c r="W768" s="133"/>
      <c r="X768" s="133"/>
      <c r="Y768" s="133"/>
      <c r="Z768" s="133"/>
    </row>
    <row r="769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88"/>
      <c r="S769" s="133"/>
      <c r="T769" s="133"/>
      <c r="U769" s="133"/>
      <c r="V769" s="133"/>
      <c r="W769" s="133"/>
      <c r="X769" s="133"/>
      <c r="Y769" s="133"/>
      <c r="Z769" s="133"/>
    </row>
    <row r="770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88"/>
      <c r="S770" s="133"/>
      <c r="T770" s="133"/>
      <c r="U770" s="133"/>
      <c r="V770" s="133"/>
      <c r="W770" s="133"/>
      <c r="X770" s="133"/>
      <c r="Y770" s="133"/>
      <c r="Z770" s="133"/>
    </row>
    <row r="77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88"/>
      <c r="S771" s="133"/>
      <c r="T771" s="133"/>
      <c r="U771" s="133"/>
      <c r="V771" s="133"/>
      <c r="W771" s="133"/>
      <c r="X771" s="133"/>
      <c r="Y771" s="133"/>
      <c r="Z771" s="133"/>
    </row>
    <row r="772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88"/>
      <c r="S772" s="133"/>
      <c r="T772" s="133"/>
      <c r="U772" s="133"/>
      <c r="V772" s="133"/>
      <c r="W772" s="133"/>
      <c r="X772" s="133"/>
      <c r="Y772" s="133"/>
      <c r="Z772" s="133"/>
    </row>
    <row r="773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88"/>
      <c r="S773" s="133"/>
      <c r="T773" s="133"/>
      <c r="U773" s="133"/>
      <c r="V773" s="133"/>
      <c r="W773" s="133"/>
      <c r="X773" s="133"/>
      <c r="Y773" s="133"/>
      <c r="Z773" s="133"/>
    </row>
    <row r="774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88"/>
      <c r="S774" s="133"/>
      <c r="T774" s="133"/>
      <c r="U774" s="133"/>
      <c r="V774" s="133"/>
      <c r="W774" s="133"/>
      <c r="X774" s="133"/>
      <c r="Y774" s="133"/>
      <c r="Z774" s="133"/>
    </row>
    <row r="775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88"/>
      <c r="S775" s="133"/>
      <c r="T775" s="133"/>
      <c r="U775" s="133"/>
      <c r="V775" s="133"/>
      <c r="W775" s="133"/>
      <c r="X775" s="133"/>
      <c r="Y775" s="133"/>
      <c r="Z775" s="133"/>
    </row>
    <row r="776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88"/>
      <c r="S776" s="133"/>
      <c r="T776" s="133"/>
      <c r="U776" s="133"/>
      <c r="V776" s="133"/>
      <c r="W776" s="133"/>
      <c r="X776" s="133"/>
      <c r="Y776" s="133"/>
      <c r="Z776" s="133"/>
    </row>
    <row r="777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88"/>
      <c r="S777" s="133"/>
      <c r="T777" s="133"/>
      <c r="U777" s="133"/>
      <c r="V777" s="133"/>
      <c r="W777" s="133"/>
      <c r="X777" s="133"/>
      <c r="Y777" s="133"/>
      <c r="Z777" s="133"/>
    </row>
    <row r="778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88"/>
      <c r="S778" s="133"/>
      <c r="T778" s="133"/>
      <c r="U778" s="133"/>
      <c r="V778" s="133"/>
      <c r="W778" s="133"/>
      <c r="X778" s="133"/>
      <c r="Y778" s="133"/>
      <c r="Z778" s="133"/>
    </row>
    <row r="779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88"/>
      <c r="S779" s="133"/>
      <c r="T779" s="133"/>
      <c r="U779" s="133"/>
      <c r="V779" s="133"/>
      <c r="W779" s="133"/>
      <c r="X779" s="133"/>
      <c r="Y779" s="133"/>
      <c r="Z779" s="133"/>
    </row>
    <row r="780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88"/>
      <c r="S780" s="133"/>
      <c r="T780" s="133"/>
      <c r="U780" s="133"/>
      <c r="V780" s="133"/>
      <c r="W780" s="133"/>
      <c r="X780" s="133"/>
      <c r="Y780" s="133"/>
      <c r="Z780" s="133"/>
    </row>
    <row r="78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88"/>
      <c r="S781" s="133"/>
      <c r="T781" s="133"/>
      <c r="U781" s="133"/>
      <c r="V781" s="133"/>
      <c r="W781" s="133"/>
      <c r="X781" s="133"/>
      <c r="Y781" s="133"/>
      <c r="Z781" s="133"/>
    </row>
    <row r="782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88"/>
      <c r="S782" s="133"/>
      <c r="T782" s="133"/>
      <c r="U782" s="133"/>
      <c r="V782" s="133"/>
      <c r="W782" s="133"/>
      <c r="X782" s="133"/>
      <c r="Y782" s="133"/>
      <c r="Z782" s="133"/>
    </row>
    <row r="783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88"/>
      <c r="S783" s="133"/>
      <c r="T783" s="133"/>
      <c r="U783" s="133"/>
      <c r="V783" s="133"/>
      <c r="W783" s="133"/>
      <c r="X783" s="133"/>
      <c r="Y783" s="133"/>
      <c r="Z783" s="133"/>
    </row>
    <row r="784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88"/>
      <c r="S784" s="133"/>
      <c r="T784" s="133"/>
      <c r="U784" s="133"/>
      <c r="V784" s="133"/>
      <c r="W784" s="133"/>
      <c r="X784" s="133"/>
      <c r="Y784" s="133"/>
      <c r="Z784" s="133"/>
    </row>
    <row r="785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88"/>
      <c r="S785" s="133"/>
      <c r="T785" s="133"/>
      <c r="U785" s="133"/>
      <c r="V785" s="133"/>
      <c r="W785" s="133"/>
      <c r="X785" s="133"/>
      <c r="Y785" s="133"/>
      <c r="Z785" s="133"/>
    </row>
    <row r="786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88"/>
      <c r="S786" s="133"/>
      <c r="T786" s="133"/>
      <c r="U786" s="133"/>
      <c r="V786" s="133"/>
      <c r="W786" s="133"/>
      <c r="X786" s="133"/>
      <c r="Y786" s="133"/>
      <c r="Z786" s="133"/>
    </row>
    <row r="787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88"/>
      <c r="S787" s="133"/>
      <c r="T787" s="133"/>
      <c r="U787" s="133"/>
      <c r="V787" s="133"/>
      <c r="W787" s="133"/>
      <c r="X787" s="133"/>
      <c r="Y787" s="133"/>
      <c r="Z787" s="133"/>
    </row>
    <row r="788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88"/>
      <c r="S788" s="133"/>
      <c r="T788" s="133"/>
      <c r="U788" s="133"/>
      <c r="V788" s="133"/>
      <c r="W788" s="133"/>
      <c r="X788" s="133"/>
      <c r="Y788" s="133"/>
      <c r="Z788" s="133"/>
    </row>
    <row r="789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88"/>
      <c r="S789" s="133"/>
      <c r="T789" s="133"/>
      <c r="U789" s="133"/>
      <c r="V789" s="133"/>
      <c r="W789" s="133"/>
      <c r="X789" s="133"/>
      <c r="Y789" s="133"/>
      <c r="Z789" s="133"/>
    </row>
    <row r="790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88"/>
      <c r="S790" s="133"/>
      <c r="T790" s="133"/>
      <c r="U790" s="133"/>
      <c r="V790" s="133"/>
      <c r="W790" s="133"/>
      <c r="X790" s="133"/>
      <c r="Y790" s="133"/>
      <c r="Z790" s="133"/>
    </row>
    <row r="79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88"/>
      <c r="S791" s="133"/>
      <c r="T791" s="133"/>
      <c r="U791" s="133"/>
      <c r="V791" s="133"/>
      <c r="W791" s="133"/>
      <c r="X791" s="133"/>
      <c r="Y791" s="133"/>
      <c r="Z791" s="133"/>
    </row>
    <row r="792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88"/>
      <c r="S792" s="133"/>
      <c r="T792" s="133"/>
      <c r="U792" s="133"/>
      <c r="V792" s="133"/>
      <c r="W792" s="133"/>
      <c r="X792" s="133"/>
      <c r="Y792" s="133"/>
      <c r="Z792" s="133"/>
    </row>
    <row r="793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88"/>
      <c r="S793" s="133"/>
      <c r="T793" s="133"/>
      <c r="U793" s="133"/>
      <c r="V793" s="133"/>
      <c r="W793" s="133"/>
      <c r="X793" s="133"/>
      <c r="Y793" s="133"/>
      <c r="Z793" s="133"/>
    </row>
    <row r="794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88"/>
      <c r="S794" s="133"/>
      <c r="T794" s="133"/>
      <c r="U794" s="133"/>
      <c r="V794" s="133"/>
      <c r="W794" s="133"/>
      <c r="X794" s="133"/>
      <c r="Y794" s="133"/>
      <c r="Z794" s="133"/>
    </row>
    <row r="795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88"/>
      <c r="S795" s="133"/>
      <c r="T795" s="133"/>
      <c r="U795" s="133"/>
      <c r="V795" s="133"/>
      <c r="W795" s="133"/>
      <c r="X795" s="133"/>
      <c r="Y795" s="133"/>
      <c r="Z795" s="133"/>
    </row>
    <row r="796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88"/>
      <c r="S796" s="133"/>
      <c r="T796" s="133"/>
      <c r="U796" s="133"/>
      <c r="V796" s="133"/>
      <c r="W796" s="133"/>
      <c r="X796" s="133"/>
      <c r="Y796" s="133"/>
      <c r="Z796" s="133"/>
    </row>
    <row r="797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88"/>
      <c r="S797" s="133"/>
      <c r="T797" s="133"/>
      <c r="U797" s="133"/>
      <c r="V797" s="133"/>
      <c r="W797" s="133"/>
      <c r="X797" s="133"/>
      <c r="Y797" s="133"/>
      <c r="Z797" s="133"/>
    </row>
    <row r="798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88"/>
      <c r="S798" s="133"/>
      <c r="T798" s="133"/>
      <c r="U798" s="133"/>
      <c r="V798" s="133"/>
      <c r="W798" s="133"/>
      <c r="X798" s="133"/>
      <c r="Y798" s="133"/>
      <c r="Z798" s="133"/>
    </row>
    <row r="799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88"/>
      <c r="S799" s="133"/>
      <c r="T799" s="133"/>
      <c r="U799" s="133"/>
      <c r="V799" s="133"/>
      <c r="W799" s="133"/>
      <c r="X799" s="133"/>
      <c r="Y799" s="133"/>
      <c r="Z799" s="133"/>
    </row>
    <row r="800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88"/>
      <c r="S800" s="133"/>
      <c r="T800" s="133"/>
      <c r="U800" s="133"/>
      <c r="V800" s="133"/>
      <c r="W800" s="133"/>
      <c r="X800" s="133"/>
      <c r="Y800" s="133"/>
      <c r="Z800" s="133"/>
    </row>
    <row r="80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88"/>
      <c r="S801" s="133"/>
      <c r="T801" s="133"/>
      <c r="U801" s="133"/>
      <c r="V801" s="133"/>
      <c r="W801" s="133"/>
      <c r="X801" s="133"/>
      <c r="Y801" s="133"/>
      <c r="Z801" s="133"/>
    </row>
    <row r="802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88"/>
      <c r="S802" s="133"/>
      <c r="T802" s="133"/>
      <c r="U802" s="133"/>
      <c r="V802" s="133"/>
      <c r="W802" s="133"/>
      <c r="X802" s="133"/>
      <c r="Y802" s="133"/>
      <c r="Z802" s="133"/>
    </row>
    <row r="803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88"/>
      <c r="S803" s="133"/>
      <c r="T803" s="133"/>
      <c r="U803" s="133"/>
      <c r="V803" s="133"/>
      <c r="W803" s="133"/>
      <c r="X803" s="133"/>
      <c r="Y803" s="133"/>
      <c r="Z803" s="133"/>
    </row>
    <row r="804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88"/>
      <c r="S804" s="133"/>
      <c r="T804" s="133"/>
      <c r="U804" s="133"/>
      <c r="V804" s="133"/>
      <c r="W804" s="133"/>
      <c r="X804" s="133"/>
      <c r="Y804" s="133"/>
      <c r="Z804" s="133"/>
    </row>
    <row r="805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88"/>
      <c r="S805" s="133"/>
      <c r="T805" s="133"/>
      <c r="U805" s="133"/>
      <c r="V805" s="133"/>
      <c r="W805" s="133"/>
      <c r="X805" s="133"/>
      <c r="Y805" s="133"/>
      <c r="Z805" s="133"/>
    </row>
    <row r="806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88"/>
      <c r="S806" s="133"/>
      <c r="T806" s="133"/>
      <c r="U806" s="133"/>
      <c r="V806" s="133"/>
      <c r="W806" s="133"/>
      <c r="X806" s="133"/>
      <c r="Y806" s="133"/>
      <c r="Z806" s="133"/>
    </row>
    <row r="807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88"/>
      <c r="S807" s="133"/>
      <c r="T807" s="133"/>
      <c r="U807" s="133"/>
      <c r="V807" s="133"/>
      <c r="W807" s="133"/>
      <c r="X807" s="133"/>
      <c r="Y807" s="133"/>
      <c r="Z807" s="133"/>
    </row>
    <row r="808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88"/>
      <c r="S808" s="133"/>
      <c r="T808" s="133"/>
      <c r="U808" s="133"/>
      <c r="V808" s="133"/>
      <c r="W808" s="133"/>
      <c r="X808" s="133"/>
      <c r="Y808" s="133"/>
      <c r="Z808" s="133"/>
    </row>
    <row r="809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88"/>
      <c r="S809" s="133"/>
      <c r="T809" s="133"/>
      <c r="U809" s="133"/>
      <c r="V809" s="133"/>
      <c r="W809" s="133"/>
      <c r="X809" s="133"/>
      <c r="Y809" s="133"/>
      <c r="Z809" s="133"/>
    </row>
    <row r="810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88"/>
      <c r="S810" s="133"/>
      <c r="T810" s="133"/>
      <c r="U810" s="133"/>
      <c r="V810" s="133"/>
      <c r="W810" s="133"/>
      <c r="X810" s="133"/>
      <c r="Y810" s="133"/>
      <c r="Z810" s="133"/>
    </row>
    <row r="81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88"/>
      <c r="S811" s="133"/>
      <c r="T811" s="133"/>
      <c r="U811" s="133"/>
      <c r="V811" s="133"/>
      <c r="W811" s="133"/>
      <c r="X811" s="133"/>
      <c r="Y811" s="133"/>
      <c r="Z811" s="133"/>
    </row>
    <row r="812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88"/>
      <c r="S812" s="133"/>
      <c r="T812" s="133"/>
      <c r="U812" s="133"/>
      <c r="V812" s="133"/>
      <c r="W812" s="133"/>
      <c r="X812" s="133"/>
      <c r="Y812" s="133"/>
      <c r="Z812" s="133"/>
    </row>
    <row r="813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88"/>
      <c r="S813" s="133"/>
      <c r="T813" s="133"/>
      <c r="U813" s="133"/>
      <c r="V813" s="133"/>
      <c r="W813" s="133"/>
      <c r="X813" s="133"/>
      <c r="Y813" s="133"/>
      <c r="Z813" s="133"/>
    </row>
    <row r="814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88"/>
      <c r="S814" s="133"/>
      <c r="T814" s="133"/>
      <c r="U814" s="133"/>
      <c r="V814" s="133"/>
      <c r="W814" s="133"/>
      <c r="X814" s="133"/>
      <c r="Y814" s="133"/>
      <c r="Z814" s="133"/>
    </row>
    <row r="815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88"/>
      <c r="S815" s="133"/>
      <c r="T815" s="133"/>
      <c r="U815" s="133"/>
      <c r="V815" s="133"/>
      <c r="W815" s="133"/>
      <c r="X815" s="133"/>
      <c r="Y815" s="133"/>
      <c r="Z815" s="133"/>
    </row>
    <row r="816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88"/>
      <c r="S816" s="133"/>
      <c r="T816" s="133"/>
      <c r="U816" s="133"/>
      <c r="V816" s="133"/>
      <c r="W816" s="133"/>
      <c r="X816" s="133"/>
      <c r="Y816" s="133"/>
      <c r="Z816" s="133"/>
    </row>
    <row r="817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88"/>
      <c r="S817" s="133"/>
      <c r="T817" s="133"/>
      <c r="U817" s="133"/>
      <c r="V817" s="133"/>
      <c r="W817" s="133"/>
      <c r="X817" s="133"/>
      <c r="Y817" s="133"/>
      <c r="Z817" s="133"/>
    </row>
    <row r="818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88"/>
      <c r="S818" s="133"/>
      <c r="T818" s="133"/>
      <c r="U818" s="133"/>
      <c r="V818" s="133"/>
      <c r="W818" s="133"/>
      <c r="X818" s="133"/>
      <c r="Y818" s="133"/>
      <c r="Z818" s="133"/>
    </row>
    <row r="819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88"/>
      <c r="S819" s="133"/>
      <c r="T819" s="133"/>
      <c r="U819" s="133"/>
      <c r="V819" s="133"/>
      <c r="W819" s="133"/>
      <c r="X819" s="133"/>
      <c r="Y819" s="133"/>
      <c r="Z819" s="133"/>
    </row>
    <row r="820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88"/>
      <c r="S820" s="133"/>
      <c r="T820" s="133"/>
      <c r="U820" s="133"/>
      <c r="V820" s="133"/>
      <c r="W820" s="133"/>
      <c r="X820" s="133"/>
      <c r="Y820" s="133"/>
      <c r="Z820" s="133"/>
    </row>
    <row r="82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88"/>
      <c r="S821" s="133"/>
      <c r="T821" s="133"/>
      <c r="U821" s="133"/>
      <c r="V821" s="133"/>
      <c r="W821" s="133"/>
      <c r="X821" s="133"/>
      <c r="Y821" s="133"/>
      <c r="Z821" s="133"/>
    </row>
    <row r="822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88"/>
      <c r="S822" s="133"/>
      <c r="T822" s="133"/>
      <c r="U822" s="133"/>
      <c r="V822" s="133"/>
      <c r="W822" s="133"/>
      <c r="X822" s="133"/>
      <c r="Y822" s="133"/>
      <c r="Z822" s="133"/>
    </row>
    <row r="823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88"/>
      <c r="S823" s="133"/>
      <c r="T823" s="133"/>
      <c r="U823" s="133"/>
      <c r="V823" s="133"/>
      <c r="W823" s="133"/>
      <c r="X823" s="133"/>
      <c r="Y823" s="133"/>
      <c r="Z823" s="133"/>
    </row>
    <row r="824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88"/>
      <c r="S824" s="133"/>
      <c r="T824" s="133"/>
      <c r="U824" s="133"/>
      <c r="V824" s="133"/>
      <c r="W824" s="133"/>
      <c r="X824" s="133"/>
      <c r="Y824" s="133"/>
      <c r="Z824" s="133"/>
    </row>
    <row r="825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88"/>
      <c r="S825" s="133"/>
      <c r="T825" s="133"/>
      <c r="U825" s="133"/>
      <c r="V825" s="133"/>
      <c r="W825" s="133"/>
      <c r="X825" s="133"/>
      <c r="Y825" s="133"/>
      <c r="Z825" s="133"/>
    </row>
    <row r="826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88"/>
      <c r="S826" s="133"/>
      <c r="T826" s="133"/>
      <c r="U826" s="133"/>
      <c r="V826" s="133"/>
      <c r="W826" s="133"/>
      <c r="X826" s="133"/>
      <c r="Y826" s="133"/>
      <c r="Z826" s="133"/>
    </row>
    <row r="827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88"/>
      <c r="S827" s="133"/>
      <c r="T827" s="133"/>
      <c r="U827" s="133"/>
      <c r="V827" s="133"/>
      <c r="W827" s="133"/>
      <c r="X827" s="133"/>
      <c r="Y827" s="133"/>
      <c r="Z827" s="133"/>
    </row>
    <row r="828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88"/>
      <c r="S828" s="133"/>
      <c r="T828" s="133"/>
      <c r="U828" s="133"/>
      <c r="V828" s="133"/>
      <c r="W828" s="133"/>
      <c r="X828" s="133"/>
      <c r="Y828" s="133"/>
      <c r="Z828" s="133"/>
    </row>
    <row r="829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88"/>
      <c r="S829" s="133"/>
      <c r="T829" s="133"/>
      <c r="U829" s="133"/>
      <c r="V829" s="133"/>
      <c r="W829" s="133"/>
      <c r="X829" s="133"/>
      <c r="Y829" s="133"/>
      <c r="Z829" s="133"/>
    </row>
    <row r="830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88"/>
      <c r="S830" s="133"/>
      <c r="T830" s="133"/>
      <c r="U830" s="133"/>
      <c r="V830" s="133"/>
      <c r="W830" s="133"/>
      <c r="X830" s="133"/>
      <c r="Y830" s="133"/>
      <c r="Z830" s="133"/>
    </row>
    <row r="83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88"/>
      <c r="S831" s="133"/>
      <c r="T831" s="133"/>
      <c r="U831" s="133"/>
      <c r="V831" s="133"/>
      <c r="W831" s="133"/>
      <c r="X831" s="133"/>
      <c r="Y831" s="133"/>
      <c r="Z831" s="133"/>
    </row>
    <row r="832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88"/>
      <c r="S832" s="133"/>
      <c r="T832" s="133"/>
      <c r="U832" s="133"/>
      <c r="V832" s="133"/>
      <c r="W832" s="133"/>
      <c r="X832" s="133"/>
      <c r="Y832" s="133"/>
      <c r="Z832" s="133"/>
    </row>
    <row r="833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88"/>
      <c r="S833" s="133"/>
      <c r="T833" s="133"/>
      <c r="U833" s="133"/>
      <c r="V833" s="133"/>
      <c r="W833" s="133"/>
      <c r="X833" s="133"/>
      <c r="Y833" s="133"/>
      <c r="Z833" s="133"/>
    </row>
    <row r="834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88"/>
      <c r="S834" s="133"/>
      <c r="T834" s="133"/>
      <c r="U834" s="133"/>
      <c r="V834" s="133"/>
      <c r="W834" s="133"/>
      <c r="X834" s="133"/>
      <c r="Y834" s="133"/>
      <c r="Z834" s="133"/>
    </row>
    <row r="835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88"/>
      <c r="S835" s="133"/>
      <c r="T835" s="133"/>
      <c r="U835" s="133"/>
      <c r="V835" s="133"/>
      <c r="W835" s="133"/>
      <c r="X835" s="133"/>
      <c r="Y835" s="133"/>
      <c r="Z835" s="133"/>
    </row>
    <row r="836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88"/>
      <c r="S836" s="133"/>
      <c r="T836" s="133"/>
      <c r="U836" s="133"/>
      <c r="V836" s="133"/>
      <c r="W836" s="133"/>
      <c r="X836" s="133"/>
      <c r="Y836" s="133"/>
      <c r="Z836" s="133"/>
    </row>
    <row r="837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88"/>
      <c r="S837" s="133"/>
      <c r="T837" s="133"/>
      <c r="U837" s="133"/>
      <c r="V837" s="133"/>
      <c r="W837" s="133"/>
      <c r="X837" s="133"/>
      <c r="Y837" s="133"/>
      <c r="Z837" s="133"/>
    </row>
    <row r="838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88"/>
      <c r="S838" s="133"/>
      <c r="T838" s="133"/>
      <c r="U838" s="133"/>
      <c r="V838" s="133"/>
      <c r="W838" s="133"/>
      <c r="X838" s="133"/>
      <c r="Y838" s="133"/>
      <c r="Z838" s="133"/>
    </row>
    <row r="839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88"/>
      <c r="S839" s="133"/>
      <c r="T839" s="133"/>
      <c r="U839" s="133"/>
      <c r="V839" s="133"/>
      <c r="W839" s="133"/>
      <c r="X839" s="133"/>
      <c r="Y839" s="133"/>
      <c r="Z839" s="133"/>
    </row>
    <row r="840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88"/>
      <c r="S840" s="133"/>
      <c r="T840" s="133"/>
      <c r="U840" s="133"/>
      <c r="V840" s="133"/>
      <c r="W840" s="133"/>
      <c r="X840" s="133"/>
      <c r="Y840" s="133"/>
      <c r="Z840" s="133"/>
    </row>
    <row r="84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88"/>
      <c r="S841" s="133"/>
      <c r="T841" s="133"/>
      <c r="U841" s="133"/>
      <c r="V841" s="133"/>
      <c r="W841" s="133"/>
      <c r="X841" s="133"/>
      <c r="Y841" s="133"/>
      <c r="Z841" s="133"/>
    </row>
    <row r="842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88"/>
      <c r="S842" s="133"/>
      <c r="T842" s="133"/>
      <c r="U842" s="133"/>
      <c r="V842" s="133"/>
      <c r="W842" s="133"/>
      <c r="X842" s="133"/>
      <c r="Y842" s="133"/>
      <c r="Z842" s="133"/>
    </row>
    <row r="843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88"/>
      <c r="S843" s="133"/>
      <c r="T843" s="133"/>
      <c r="U843" s="133"/>
      <c r="V843" s="133"/>
      <c r="W843" s="133"/>
      <c r="X843" s="133"/>
      <c r="Y843" s="133"/>
      <c r="Z843" s="133"/>
    </row>
    <row r="844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88"/>
      <c r="S844" s="133"/>
      <c r="T844" s="133"/>
      <c r="U844" s="133"/>
      <c r="V844" s="133"/>
      <c r="W844" s="133"/>
      <c r="X844" s="133"/>
      <c r="Y844" s="133"/>
      <c r="Z844" s="133"/>
    </row>
    <row r="845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88"/>
      <c r="S845" s="133"/>
      <c r="T845" s="133"/>
      <c r="U845" s="133"/>
      <c r="V845" s="133"/>
      <c r="W845" s="133"/>
      <c r="X845" s="133"/>
      <c r="Y845" s="133"/>
      <c r="Z845" s="133"/>
    </row>
    <row r="846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88"/>
      <c r="S846" s="133"/>
      <c r="T846" s="133"/>
      <c r="U846" s="133"/>
      <c r="V846" s="133"/>
      <c r="W846" s="133"/>
      <c r="X846" s="133"/>
      <c r="Y846" s="133"/>
      <c r="Z846" s="133"/>
    </row>
    <row r="847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88"/>
      <c r="S847" s="133"/>
      <c r="T847" s="133"/>
      <c r="U847" s="133"/>
      <c r="V847" s="133"/>
      <c r="W847" s="133"/>
      <c r="X847" s="133"/>
      <c r="Y847" s="133"/>
      <c r="Z847" s="133"/>
    </row>
    <row r="848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88"/>
      <c r="S848" s="133"/>
      <c r="T848" s="133"/>
      <c r="U848" s="133"/>
      <c r="V848" s="133"/>
      <c r="W848" s="133"/>
      <c r="X848" s="133"/>
      <c r="Y848" s="133"/>
      <c r="Z848" s="133"/>
    </row>
    <row r="849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88"/>
      <c r="S849" s="133"/>
      <c r="T849" s="133"/>
      <c r="U849" s="133"/>
      <c r="V849" s="133"/>
      <c r="W849" s="133"/>
      <c r="X849" s="133"/>
      <c r="Y849" s="133"/>
      <c r="Z849" s="133"/>
    </row>
    <row r="850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88"/>
      <c r="S850" s="133"/>
      <c r="T850" s="133"/>
      <c r="U850" s="133"/>
      <c r="V850" s="133"/>
      <c r="W850" s="133"/>
      <c r="X850" s="133"/>
      <c r="Y850" s="133"/>
      <c r="Z850" s="133"/>
    </row>
    <row r="85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88"/>
      <c r="S851" s="133"/>
      <c r="T851" s="133"/>
      <c r="U851" s="133"/>
      <c r="V851" s="133"/>
      <c r="W851" s="133"/>
      <c r="X851" s="133"/>
      <c r="Y851" s="133"/>
      <c r="Z851" s="133"/>
    </row>
    <row r="852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88"/>
      <c r="S852" s="133"/>
      <c r="T852" s="133"/>
      <c r="U852" s="133"/>
      <c r="V852" s="133"/>
      <c r="W852" s="133"/>
      <c r="X852" s="133"/>
      <c r="Y852" s="133"/>
      <c r="Z852" s="133"/>
    </row>
    <row r="853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88"/>
      <c r="S853" s="133"/>
      <c r="T853" s="133"/>
      <c r="U853" s="133"/>
      <c r="V853" s="133"/>
      <c r="W853" s="133"/>
      <c r="X853" s="133"/>
      <c r="Y853" s="133"/>
      <c r="Z853" s="133"/>
    </row>
    <row r="854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88"/>
      <c r="S854" s="133"/>
      <c r="T854" s="133"/>
      <c r="U854" s="133"/>
      <c r="V854" s="133"/>
      <c r="W854" s="133"/>
      <c r="X854" s="133"/>
      <c r="Y854" s="133"/>
      <c r="Z854" s="133"/>
    </row>
    <row r="855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88"/>
      <c r="S855" s="133"/>
      <c r="T855" s="133"/>
      <c r="U855" s="133"/>
      <c r="V855" s="133"/>
      <c r="W855" s="133"/>
      <c r="X855" s="133"/>
      <c r="Y855" s="133"/>
      <c r="Z855" s="133"/>
    </row>
    <row r="856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88"/>
      <c r="S856" s="133"/>
      <c r="T856" s="133"/>
      <c r="U856" s="133"/>
      <c r="V856" s="133"/>
      <c r="W856" s="133"/>
      <c r="X856" s="133"/>
      <c r="Y856" s="133"/>
      <c r="Z856" s="133"/>
    </row>
    <row r="857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88"/>
      <c r="S857" s="133"/>
      <c r="T857" s="133"/>
      <c r="U857" s="133"/>
      <c r="V857" s="133"/>
      <c r="W857" s="133"/>
      <c r="X857" s="133"/>
      <c r="Y857" s="133"/>
      <c r="Z857" s="133"/>
    </row>
    <row r="858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88"/>
      <c r="S858" s="133"/>
      <c r="T858" s="133"/>
      <c r="U858" s="133"/>
      <c r="V858" s="133"/>
      <c r="W858" s="133"/>
      <c r="X858" s="133"/>
      <c r="Y858" s="133"/>
      <c r="Z858" s="133"/>
    </row>
    <row r="859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88"/>
      <c r="S859" s="133"/>
      <c r="T859" s="133"/>
      <c r="U859" s="133"/>
      <c r="V859" s="133"/>
      <c r="W859" s="133"/>
      <c r="X859" s="133"/>
      <c r="Y859" s="133"/>
      <c r="Z859" s="133"/>
    </row>
    <row r="860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88"/>
      <c r="S860" s="133"/>
      <c r="T860" s="133"/>
      <c r="U860" s="133"/>
      <c r="V860" s="133"/>
      <c r="W860" s="133"/>
      <c r="X860" s="133"/>
      <c r="Y860" s="133"/>
      <c r="Z860" s="133"/>
    </row>
    <row r="86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88"/>
      <c r="S861" s="133"/>
      <c r="T861" s="133"/>
      <c r="U861" s="133"/>
      <c r="V861" s="133"/>
      <c r="W861" s="133"/>
      <c r="X861" s="133"/>
      <c r="Y861" s="133"/>
      <c r="Z861" s="133"/>
    </row>
    <row r="862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88"/>
      <c r="S862" s="133"/>
      <c r="T862" s="133"/>
      <c r="U862" s="133"/>
      <c r="V862" s="133"/>
      <c r="W862" s="133"/>
      <c r="X862" s="133"/>
      <c r="Y862" s="133"/>
      <c r="Z862" s="133"/>
    </row>
    <row r="863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88"/>
      <c r="S863" s="133"/>
      <c r="T863" s="133"/>
      <c r="U863" s="133"/>
      <c r="V863" s="133"/>
      <c r="W863" s="133"/>
      <c r="X863" s="133"/>
      <c r="Y863" s="133"/>
      <c r="Z863" s="133"/>
    </row>
    <row r="864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88"/>
      <c r="S864" s="133"/>
      <c r="T864" s="133"/>
      <c r="U864" s="133"/>
      <c r="V864" s="133"/>
      <c r="W864" s="133"/>
      <c r="X864" s="133"/>
      <c r="Y864" s="133"/>
      <c r="Z864" s="133"/>
    </row>
    <row r="865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88"/>
      <c r="S865" s="133"/>
      <c r="T865" s="133"/>
      <c r="U865" s="133"/>
      <c r="V865" s="133"/>
      <c r="W865" s="133"/>
      <c r="X865" s="133"/>
      <c r="Y865" s="133"/>
      <c r="Z865" s="133"/>
    </row>
    <row r="866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88"/>
      <c r="S866" s="133"/>
      <c r="T866" s="133"/>
      <c r="U866" s="133"/>
      <c r="V866" s="133"/>
      <c r="W866" s="133"/>
      <c r="X866" s="133"/>
      <c r="Y866" s="133"/>
      <c r="Z866" s="133"/>
    </row>
    <row r="867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88"/>
      <c r="S867" s="133"/>
      <c r="T867" s="133"/>
      <c r="U867" s="133"/>
      <c r="V867" s="133"/>
      <c r="W867" s="133"/>
      <c r="X867" s="133"/>
      <c r="Y867" s="133"/>
      <c r="Z867" s="133"/>
    </row>
    <row r="868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88"/>
      <c r="S868" s="133"/>
      <c r="T868" s="133"/>
      <c r="U868" s="133"/>
      <c r="V868" s="133"/>
      <c r="W868" s="133"/>
      <c r="X868" s="133"/>
      <c r="Y868" s="133"/>
      <c r="Z868" s="133"/>
    </row>
  </sheetData>
  <mergeCells count="19">
    <mergeCell ref="P2:P3"/>
    <mergeCell ref="Q2:Q3"/>
    <mergeCell ref="T2:T3"/>
    <mergeCell ref="U2:U3"/>
    <mergeCell ref="V2:V3"/>
    <mergeCell ref="W2:W3"/>
    <mergeCell ref="X2:X3"/>
    <mergeCell ref="Y2:Y3"/>
    <mergeCell ref="A4:A67"/>
    <mergeCell ref="A68:A131"/>
    <mergeCell ref="A132:A195"/>
    <mergeCell ref="A196:A259"/>
    <mergeCell ref="B1:O1"/>
    <mergeCell ref="B2:B3"/>
    <mergeCell ref="C2:C3"/>
    <mergeCell ref="D2:D3"/>
    <mergeCell ref="E2:E3"/>
    <mergeCell ref="F2:N2"/>
    <mergeCell ref="O2:O3"/>
  </mergeCell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19"/>
    <hyperlink r:id="rId17" ref="C20"/>
    <hyperlink r:id="rId18" ref="C21"/>
    <hyperlink r:id="rId19" ref="C22"/>
    <hyperlink r:id="rId20" ref="C23"/>
    <hyperlink r:id="rId21" ref="C24"/>
    <hyperlink r:id="rId22" ref="C25"/>
    <hyperlink r:id="rId23" ref="C26"/>
    <hyperlink r:id="rId24" ref="C27"/>
    <hyperlink r:id="rId25" ref="C28"/>
    <hyperlink r:id="rId26" ref="C29"/>
    <hyperlink r:id="rId27" ref="C30"/>
    <hyperlink r:id="rId28" ref="C31"/>
    <hyperlink r:id="rId29" ref="C32"/>
    <hyperlink r:id="rId30" ref="C33"/>
    <hyperlink r:id="rId31" ref="C34"/>
    <hyperlink r:id="rId32" ref="C35"/>
    <hyperlink r:id="rId33" ref="C36"/>
    <hyperlink r:id="rId34" ref="C37"/>
    <hyperlink r:id="rId35" ref="C38"/>
    <hyperlink r:id="rId36" ref="C39"/>
    <hyperlink r:id="rId37" ref="C40"/>
    <hyperlink r:id="rId38" ref="C41"/>
    <hyperlink r:id="rId39" ref="C42"/>
    <hyperlink r:id="rId40" ref="C43"/>
    <hyperlink r:id="rId41" ref="C44"/>
    <hyperlink r:id="rId42" ref="C45"/>
    <hyperlink r:id="rId43" ref="C46"/>
    <hyperlink r:id="rId44" ref="C47"/>
    <hyperlink r:id="rId45" ref="C48"/>
    <hyperlink r:id="rId46" ref="C49"/>
    <hyperlink r:id="rId47" ref="C50"/>
    <hyperlink r:id="rId48" ref="C51"/>
    <hyperlink r:id="rId49" ref="C52"/>
    <hyperlink r:id="rId50" ref="C53"/>
    <hyperlink r:id="rId51" ref="C54"/>
    <hyperlink r:id="rId52" ref="C55"/>
    <hyperlink r:id="rId53" ref="C56"/>
    <hyperlink r:id="rId54" ref="C57"/>
    <hyperlink r:id="rId55" ref="C58"/>
    <hyperlink r:id="rId56" ref="C59"/>
    <hyperlink r:id="rId57" ref="C60"/>
    <hyperlink r:id="rId58" ref="C61"/>
    <hyperlink r:id="rId59" ref="C62"/>
    <hyperlink r:id="rId60" ref="C63"/>
    <hyperlink r:id="rId61" ref="C64"/>
    <hyperlink r:id="rId62" ref="C65"/>
    <hyperlink r:id="rId63" ref="C66"/>
    <hyperlink r:id="rId64" ref="C67"/>
    <hyperlink r:id="rId65" ref="C68"/>
    <hyperlink r:id="rId66" ref="C69"/>
    <hyperlink r:id="rId67" ref="C70"/>
    <hyperlink r:id="rId68" ref="C71"/>
    <hyperlink r:id="rId69" ref="C72"/>
    <hyperlink r:id="rId70" ref="C73"/>
    <hyperlink r:id="rId71" ref="C74"/>
    <hyperlink r:id="rId72" ref="C75"/>
    <hyperlink r:id="rId73" ref="C76"/>
    <hyperlink r:id="rId74" ref="C77"/>
    <hyperlink r:id="rId75" ref="C78"/>
    <hyperlink r:id="rId76" ref="C79"/>
    <hyperlink r:id="rId77" ref="C80"/>
    <hyperlink r:id="rId78" ref="C81"/>
    <hyperlink r:id="rId79" ref="C82"/>
    <hyperlink r:id="rId80" ref="C83"/>
    <hyperlink r:id="rId81" ref="C84"/>
    <hyperlink r:id="rId82" ref="C85"/>
    <hyperlink r:id="rId83" ref="C86"/>
    <hyperlink r:id="rId84" ref="C87"/>
    <hyperlink r:id="rId85" ref="C88"/>
    <hyperlink r:id="rId86" ref="C89"/>
    <hyperlink r:id="rId87" ref="C90"/>
    <hyperlink r:id="rId88" ref="C91"/>
    <hyperlink r:id="rId89" ref="C92"/>
    <hyperlink r:id="rId90" ref="C93"/>
    <hyperlink r:id="rId91" ref="C94"/>
    <hyperlink r:id="rId92" ref="C95"/>
    <hyperlink r:id="rId93" ref="C96"/>
    <hyperlink r:id="rId94" ref="C97"/>
    <hyperlink r:id="rId95" ref="C98"/>
    <hyperlink r:id="rId96" ref="C99"/>
    <hyperlink r:id="rId97" ref="C100"/>
    <hyperlink r:id="rId98" ref="C101"/>
    <hyperlink r:id="rId99" ref="C102"/>
    <hyperlink r:id="rId100" ref="C103"/>
    <hyperlink r:id="rId101" ref="C104"/>
    <hyperlink r:id="rId102" ref="C105"/>
    <hyperlink r:id="rId103" ref="C106"/>
    <hyperlink r:id="rId104" ref="C107"/>
    <hyperlink r:id="rId105" ref="C108"/>
    <hyperlink r:id="rId106" ref="C109"/>
    <hyperlink r:id="rId107" ref="C110"/>
    <hyperlink r:id="rId108" ref="C111"/>
    <hyperlink r:id="rId109" ref="C112"/>
    <hyperlink r:id="rId110" ref="C113"/>
    <hyperlink r:id="rId111" ref="C114"/>
    <hyperlink r:id="rId112" ref="C115"/>
    <hyperlink r:id="rId113" ref="C116"/>
    <hyperlink r:id="rId114" ref="C117"/>
    <hyperlink r:id="rId115" ref="C118"/>
    <hyperlink r:id="rId116" ref="C119"/>
    <hyperlink r:id="rId117" ref="C120"/>
    <hyperlink r:id="rId118" ref="C121"/>
    <hyperlink r:id="rId119" ref="C122"/>
    <hyperlink r:id="rId120" ref="C123"/>
    <hyperlink r:id="rId121" ref="C124"/>
    <hyperlink r:id="rId122" ref="C125"/>
    <hyperlink r:id="rId123" ref="C126"/>
    <hyperlink r:id="rId124" ref="C127"/>
    <hyperlink r:id="rId125" ref="C128"/>
    <hyperlink r:id="rId126" ref="C129"/>
    <hyperlink r:id="rId127" ref="C130"/>
    <hyperlink r:id="rId128" ref="C131"/>
    <hyperlink r:id="rId129" ref="C132"/>
    <hyperlink r:id="rId130" ref="C133"/>
    <hyperlink r:id="rId131" ref="C134"/>
    <hyperlink r:id="rId132" ref="C135"/>
    <hyperlink r:id="rId133" ref="C136"/>
    <hyperlink r:id="rId134" ref="C137"/>
    <hyperlink r:id="rId135" ref="C138"/>
    <hyperlink r:id="rId136" ref="C139"/>
    <hyperlink r:id="rId137" ref="C140"/>
    <hyperlink r:id="rId138" ref="C141"/>
    <hyperlink r:id="rId139" ref="C142"/>
    <hyperlink r:id="rId140" ref="C143"/>
    <hyperlink r:id="rId141" ref="C144"/>
    <hyperlink r:id="rId142" ref="C145"/>
    <hyperlink r:id="rId143" ref="C146"/>
    <hyperlink r:id="rId144" ref="C147"/>
    <hyperlink r:id="rId145" ref="C148"/>
    <hyperlink r:id="rId146" ref="C149"/>
    <hyperlink r:id="rId147" ref="C150"/>
    <hyperlink r:id="rId148" ref="C151"/>
    <hyperlink r:id="rId149" ref="C152"/>
    <hyperlink r:id="rId150" ref="C153"/>
    <hyperlink r:id="rId151" ref="C154"/>
    <hyperlink r:id="rId152" ref="C155"/>
    <hyperlink r:id="rId153" ref="C156"/>
    <hyperlink r:id="rId154" ref="C157"/>
    <hyperlink r:id="rId155" ref="C158"/>
    <hyperlink r:id="rId156" ref="C159"/>
    <hyperlink r:id="rId157" ref="C160"/>
    <hyperlink r:id="rId158" ref="C161"/>
    <hyperlink r:id="rId159" ref="C162"/>
    <hyperlink r:id="rId160" ref="C163"/>
    <hyperlink r:id="rId161" ref="C164"/>
    <hyperlink r:id="rId162" ref="C165"/>
    <hyperlink r:id="rId163" ref="C166"/>
    <hyperlink r:id="rId164" ref="C167"/>
    <hyperlink r:id="rId165" ref="C168"/>
    <hyperlink r:id="rId166" ref="C169"/>
    <hyperlink r:id="rId167" ref="C170"/>
    <hyperlink r:id="rId168" ref="C171"/>
    <hyperlink r:id="rId169" ref="C172"/>
    <hyperlink r:id="rId170" ref="C173"/>
    <hyperlink r:id="rId171" ref="C174"/>
    <hyperlink r:id="rId172" ref="C175"/>
    <hyperlink r:id="rId173" ref="C176"/>
    <hyperlink r:id="rId174" ref="C177"/>
    <hyperlink r:id="rId175" ref="C178"/>
    <hyperlink r:id="rId176" ref="C179"/>
    <hyperlink r:id="rId177" ref="C180"/>
    <hyperlink r:id="rId178" ref="C181"/>
    <hyperlink r:id="rId179" ref="C182"/>
    <hyperlink r:id="rId180" ref="C183"/>
    <hyperlink r:id="rId181" ref="C184"/>
    <hyperlink r:id="rId182" ref="C185"/>
    <hyperlink r:id="rId183" ref="C186"/>
    <hyperlink r:id="rId184" ref="C187"/>
    <hyperlink r:id="rId185" ref="C188"/>
    <hyperlink r:id="rId186" ref="C189"/>
    <hyperlink r:id="rId187" ref="C190"/>
    <hyperlink r:id="rId188" ref="C191"/>
    <hyperlink r:id="rId189" ref="C192"/>
    <hyperlink r:id="rId190" ref="C193"/>
    <hyperlink r:id="rId191" ref="C194"/>
    <hyperlink r:id="rId192" ref="C195"/>
    <hyperlink r:id="rId193" ref="C196"/>
    <hyperlink r:id="rId194" ref="C197"/>
    <hyperlink r:id="rId195" ref="C198"/>
    <hyperlink r:id="rId196" ref="C199"/>
    <hyperlink r:id="rId197" ref="C200"/>
    <hyperlink r:id="rId198" ref="C201"/>
    <hyperlink r:id="rId199" ref="C202"/>
    <hyperlink r:id="rId200" ref="C203"/>
    <hyperlink r:id="rId201" ref="C204"/>
    <hyperlink r:id="rId202" ref="C205"/>
    <hyperlink r:id="rId203" ref="C206"/>
    <hyperlink r:id="rId204" ref="C207"/>
    <hyperlink r:id="rId205" ref="C208"/>
    <hyperlink r:id="rId206" ref="C209"/>
    <hyperlink r:id="rId207" ref="C210"/>
    <hyperlink r:id="rId208" ref="C211"/>
    <hyperlink r:id="rId209" ref="C212"/>
    <hyperlink r:id="rId210" ref="C213"/>
    <hyperlink r:id="rId211" ref="C214"/>
    <hyperlink r:id="rId212" ref="C215"/>
    <hyperlink r:id="rId213" ref="C216"/>
    <hyperlink r:id="rId214" ref="C217"/>
    <hyperlink r:id="rId215" ref="C218"/>
    <hyperlink r:id="rId216" ref="C219"/>
    <hyperlink r:id="rId217" ref="C220"/>
    <hyperlink r:id="rId218" ref="C221"/>
    <hyperlink r:id="rId219" ref="C222"/>
    <hyperlink r:id="rId220" ref="C223"/>
    <hyperlink r:id="rId221" ref="C224"/>
    <hyperlink r:id="rId222" ref="C225"/>
    <hyperlink r:id="rId223" ref="C226"/>
    <hyperlink r:id="rId224" ref="C227"/>
    <hyperlink r:id="rId225" ref="C228"/>
    <hyperlink r:id="rId226" ref="C229"/>
    <hyperlink r:id="rId227" ref="C230"/>
    <hyperlink r:id="rId228" ref="C231"/>
    <hyperlink r:id="rId229" ref="C232"/>
    <hyperlink r:id="rId230" ref="C233"/>
    <hyperlink r:id="rId231" ref="C234"/>
    <hyperlink r:id="rId232" ref="C235"/>
    <hyperlink r:id="rId233" ref="C236"/>
    <hyperlink r:id="rId234" ref="C237"/>
    <hyperlink r:id="rId235" ref="C238"/>
    <hyperlink r:id="rId236" ref="C239"/>
    <hyperlink r:id="rId237" ref="C240"/>
    <hyperlink r:id="rId238" ref="C241"/>
    <hyperlink r:id="rId239" ref="C242"/>
    <hyperlink r:id="rId240" ref="C243"/>
    <hyperlink r:id="rId241" ref="C244"/>
    <hyperlink r:id="rId242" ref="C245"/>
    <hyperlink r:id="rId243" ref="C246"/>
    <hyperlink r:id="rId244" ref="C247"/>
    <hyperlink r:id="rId245" ref="C248"/>
    <hyperlink r:id="rId246" ref="C249"/>
    <hyperlink r:id="rId247" ref="C250"/>
    <hyperlink r:id="rId248" ref="C251"/>
    <hyperlink r:id="rId249" ref="C252"/>
    <hyperlink r:id="rId250" ref="C253"/>
    <hyperlink r:id="rId251" ref="C254"/>
    <hyperlink r:id="rId252" ref="C255"/>
    <hyperlink r:id="rId253" ref="C256"/>
    <hyperlink r:id="rId254" ref="C257"/>
    <hyperlink r:id="rId255" ref="C258"/>
    <hyperlink r:id="rId256" ref="C259"/>
  </hyperlinks>
  <drawing r:id="rId25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3" max="3" width="20.63"/>
    <col customWidth="1" min="4" max="5" width="22.13"/>
    <col customWidth="1" min="6" max="6" width="21.88"/>
    <col customWidth="1" min="7" max="7" width="21.38"/>
    <col customWidth="1" min="8" max="8" width="19.88"/>
    <col customWidth="1" min="9" max="9" width="20.63"/>
    <col customWidth="1" min="10" max="10" width="19.38"/>
    <col customWidth="1" min="14" max="14" width="27.38"/>
    <col customWidth="1" min="15" max="15" width="19.13"/>
    <col customWidth="1" min="16" max="16" width="29.25"/>
    <col customWidth="1" min="17" max="17" width="22.38"/>
  </cols>
  <sheetData>
    <row r="1">
      <c r="A1" s="189"/>
      <c r="B1" s="10" t="s">
        <v>4</v>
      </c>
      <c r="C1" s="11" t="s">
        <v>5</v>
      </c>
      <c r="D1" s="3"/>
      <c r="E1" s="3"/>
      <c r="F1" s="3"/>
      <c r="G1" s="3"/>
      <c r="H1" s="3"/>
      <c r="I1" s="3"/>
      <c r="J1" s="4"/>
      <c r="K1" s="190"/>
      <c r="L1" s="190"/>
      <c r="M1" s="12" t="s">
        <v>556</v>
      </c>
      <c r="N1" s="13" t="s">
        <v>7</v>
      </c>
      <c r="O1" s="14"/>
      <c r="P1" s="15" t="s">
        <v>9</v>
      </c>
      <c r="Z1" s="7"/>
    </row>
    <row r="2">
      <c r="A2" s="189"/>
      <c r="B2" s="19"/>
      <c r="C2" s="20" t="s">
        <v>16</v>
      </c>
      <c r="D2" s="14" t="s">
        <v>17</v>
      </c>
      <c r="E2" s="14" t="s">
        <v>18</v>
      </c>
      <c r="F2" s="14" t="s">
        <v>19</v>
      </c>
      <c r="G2" s="14" t="s">
        <v>20</v>
      </c>
      <c r="H2" s="14" t="s">
        <v>21</v>
      </c>
      <c r="I2" s="14" t="s">
        <v>22</v>
      </c>
      <c r="J2" s="14" t="s">
        <v>23</v>
      </c>
      <c r="K2" s="191" t="s">
        <v>557</v>
      </c>
      <c r="L2" s="191" t="s">
        <v>558</v>
      </c>
      <c r="M2" s="19"/>
      <c r="N2" s="19"/>
      <c r="O2" s="192" t="s">
        <v>559</v>
      </c>
      <c r="P2" s="192" t="s">
        <v>560</v>
      </c>
      <c r="Q2" s="192" t="s">
        <v>560</v>
      </c>
      <c r="Z2" s="7"/>
    </row>
    <row r="3">
      <c r="A3" s="26" t="s">
        <v>29</v>
      </c>
      <c r="B3" s="92" t="s">
        <v>171</v>
      </c>
      <c r="C3" s="33">
        <f>IFERROR(__xludf.DUMMYFUNCTION("IMPORTRANGE(""https://docs.google.com/spreadsheets/d/1ca8cMhzyOckHdNiYinDsEvnGp85K2P0HF-MddinrGXM/edit?gid=901536474#gid=901536474"",""3754!Z2"")"),0.0)</f>
        <v>0</v>
      </c>
      <c r="D3" s="33">
        <f>IFERROR(__xludf.DUMMYFUNCTION("IMPORTRANGE(""https://docs.google.com/spreadsheets/d/1ZPIx2zimbu-1zeGuxfxkhXNgqhfTssUS5s9k5cZf2wc/edit?gid=901536474#gid=901536474"",""3754!Z2"")"),37.0)</f>
        <v>37</v>
      </c>
      <c r="E3" s="33">
        <f>IFERROR(__xludf.DUMMYFUNCTION("IMPORTRANGE(""https://docs.google.com/spreadsheets/d/1XMcMRG5YO-goaR1U_4jER5WefHmr96--8gyjWBUNI6k/edit?gid=901536474#gid=901536474"",""3754!Z2"")"),100.0)</f>
        <v>100</v>
      </c>
      <c r="F3" s="33">
        <f>IFERROR(__xludf.DUMMYFUNCTION("IMPORTRANGE(""https://docs.google.com/spreadsheets/d/1MA0wBASwppm9FIO036lHI8xvhSVH0v5HYfXfVjKbcyQ/edit?usp=drive_web&amp;ouid=100730119819154221963"",""3754!Z2"")"),0.0)</f>
        <v>0</v>
      </c>
      <c r="G3" s="33">
        <f>IFERROR(__xludf.DUMMYFUNCTION("IMPORTRANGE(""https://docs.google.com/spreadsheets/d/1D2vfyqvZrSRB3H2syxflheuiQYzNPTpGgOdgFd9uWlk/edit?gid=901536474#gid=901536474"",""3754!Z2"")"),0.0)</f>
        <v>0</v>
      </c>
      <c r="H3" s="33">
        <f>IFERROR(__xludf.DUMMYFUNCTION("IMPORTRANGE(""https://docs.google.com/spreadsheets/d/12IEdVEBjKQJvqAAWPA8r9wBGS_rRrYVNO7dHXE_rk60/edit?gid=901536474#gid=901536474"",""3754!Z2"")"),0.0)</f>
        <v>0</v>
      </c>
      <c r="I3" s="33">
        <f>IFERROR(__xludf.DUMMYFUNCTION("IMPORTRANGE(""https://docs.google.com/spreadsheets/d/1LB7ejmtgeP477BH1-F2FJlKUu_JQOyifPAyaNOOGBD0/edit?gid=901536474#gid=901536474"",""3754!Z2"")"),0.0)</f>
        <v>0</v>
      </c>
      <c r="J3" s="33">
        <f>IFERROR(__xludf.DUMMYFUNCTION("IMPORTRANGE(""https://docs.google.com/spreadsheets/d/1b2lul54I9-5u3ezeokOV5YBImAWXrqMYLSuPw_3-hIw/edit?usp=drive_web&amp;ouid=100730119819154221963"",""3754!Z2"")"),0.0)</f>
        <v>0</v>
      </c>
      <c r="K3" s="193">
        <v>59.0</v>
      </c>
      <c r="L3" s="193">
        <f t="shared" ref="L3:L66" si="1">M3-K3</f>
        <v>78</v>
      </c>
      <c r="M3" s="24">
        <f t="shared" ref="M3:M66" si="2">SUM(C3:J3,O3,P3,Q3)</f>
        <v>137</v>
      </c>
      <c r="N3" s="94"/>
      <c r="O3" s="95"/>
      <c r="P3" s="94"/>
      <c r="Q3" s="94"/>
      <c r="Z3" s="7"/>
    </row>
    <row r="4">
      <c r="A4" s="100" t="s">
        <v>29</v>
      </c>
      <c r="B4" s="101" t="s">
        <v>173</v>
      </c>
      <c r="C4" s="194">
        <f>IFERROR(__xludf.DUMMYFUNCTION("IMPORTRANGE(""https://docs.google.com/spreadsheets/d/1ca8cMhzyOckHdNiYinDsEvnGp85K2P0HF-MddinrGXM/edit?gid=901536474#gid=901536474"",""3755!Z2"")"),0.0)</f>
        <v>0</v>
      </c>
      <c r="D4" s="194">
        <f>IFERROR(__xludf.DUMMYFUNCTION("IMPORTRANGE(""https://docs.google.com/spreadsheets/d/1ZPIx2zimbu-1zeGuxfxkhXNgqhfTssUS5s9k5cZf2wc/edit?gid=901536474#gid=901536474"",""3755!Z2"")"),40.0)</f>
        <v>40</v>
      </c>
      <c r="E4" s="194">
        <f>IFERROR(__xludf.DUMMYFUNCTION("IMPORTRANGE(""https://docs.google.com/spreadsheets/d/1XMcMRG5YO-goaR1U_4jER5WefHmr96--8gyjWBUNI6k/edit?gid=901536474#gid=901536474"",""3755!Z2"")"),55.0)</f>
        <v>55</v>
      </c>
      <c r="F4" s="194">
        <f>IFERROR(__xludf.DUMMYFUNCTION("IMPORTRANGE(""https://docs.google.com/spreadsheets/d/1MA0wBASwppm9FIO036lHI8xvhSVH0v5HYfXfVjKbcyQ/edit?usp=drive_web&amp;ouid=100730119819154221963"",""3755!Z2"")"),0.0)</f>
        <v>0</v>
      </c>
      <c r="G4" s="194">
        <f>IFERROR(__xludf.DUMMYFUNCTION("IMPORTRANGE(""https://docs.google.com/spreadsheets/d/1D2vfyqvZrSRB3H2syxflheuiQYzNPTpGgOdgFd9uWlk/edit?gid=901536474#gid=901536474"",""3755!Z2"")"),0.0)</f>
        <v>0</v>
      </c>
      <c r="H4" s="194">
        <f>IFERROR(__xludf.DUMMYFUNCTION("IMPORTRANGE(""https://docs.google.com/spreadsheets/d/12IEdVEBjKQJvqAAWPA8r9wBGS_rRrYVNO7dHXE_rk60/edit?gid=901536474#gid=901536474"",""3755!Z2"")"),0.0)</f>
        <v>0</v>
      </c>
      <c r="I4" s="194">
        <f>IFERROR(__xludf.DUMMYFUNCTION("IMPORTRANGE(""https://docs.google.com/spreadsheets/d/1LB7ejmtgeP477BH1-F2FJlKUu_JQOyifPAyaNOOGBD0/edit?gid=901536474#gid=901536474"",""3755!Z2"")"),0.0)</f>
        <v>0</v>
      </c>
      <c r="J4" s="194">
        <f>IFERROR(__xludf.DUMMYFUNCTION("IMPORTRANGE(""https://docs.google.com/spreadsheets/d/1b2lul54I9-5u3ezeokOV5YBImAWXrqMYLSuPw_3-hIw/edit?usp=drive_web&amp;ouid=100730119819154221963"",""3755!Z2"")"),0.0)</f>
        <v>0</v>
      </c>
      <c r="K4" s="195">
        <v>54.0</v>
      </c>
      <c r="L4" s="195">
        <f t="shared" si="1"/>
        <v>41</v>
      </c>
      <c r="M4" s="103">
        <f t="shared" si="2"/>
        <v>95</v>
      </c>
      <c r="N4" s="196"/>
      <c r="O4" s="197"/>
      <c r="P4" s="196"/>
      <c r="Q4" s="196"/>
      <c r="R4" s="198"/>
      <c r="S4" s="198"/>
      <c r="T4" s="198"/>
      <c r="U4" s="198"/>
      <c r="V4" s="198"/>
      <c r="W4" s="198"/>
      <c r="X4" s="198"/>
      <c r="Y4" s="198"/>
      <c r="Z4" s="199"/>
    </row>
    <row r="5">
      <c r="A5" s="43" t="s">
        <v>29</v>
      </c>
      <c r="B5" s="107" t="s">
        <v>175</v>
      </c>
      <c r="C5" s="33">
        <f>IFERROR(__xludf.DUMMYFUNCTION("IMPORTRANGE(""https://docs.google.com/spreadsheets/d/1ca8cMhzyOckHdNiYinDsEvnGp85K2P0HF-MddinrGXM/edit?gid=901536474#gid=901536474"",""3756!Z2"")"),0.0)</f>
        <v>0</v>
      </c>
      <c r="D5" s="33">
        <f>IFERROR(__xludf.DUMMYFUNCTION("IMPORTRANGE(""https://docs.google.com/spreadsheets/d/1ZPIx2zimbu-1zeGuxfxkhXNgqhfTssUS5s9k5cZf2wc/edit?gid=901536474#gid=901536474"",""3756!Z2"")"),28.0)</f>
        <v>28</v>
      </c>
      <c r="E5" s="33">
        <f>IFERROR(__xludf.DUMMYFUNCTION("IMPORTRANGE(""https://docs.google.com/spreadsheets/d/1XMcMRG5YO-goaR1U_4jER5WefHmr96--8gyjWBUNI6k/edit?gid=901536474#gid=901536474"",""3756!Z2"")"),30.0)</f>
        <v>30</v>
      </c>
      <c r="F5" s="33">
        <f>IFERROR(__xludf.DUMMYFUNCTION("IMPORTRANGE(""https://docs.google.com/spreadsheets/d/1MA0wBASwppm9FIO036lHI8xvhSVH0v5HYfXfVjKbcyQ/edit?usp=drive_web&amp;ouid=100730119819154221963"",""3756!Z2"")"),0.0)</f>
        <v>0</v>
      </c>
      <c r="G5" s="33">
        <f>IFERROR(__xludf.DUMMYFUNCTION("IMPORTRANGE(""https://docs.google.com/spreadsheets/d/1D2vfyqvZrSRB3H2syxflheuiQYzNPTpGgOdgFd9uWlk/edit?gid=901536474#gid=901536474"",""3756!Z2"")"),0.0)</f>
        <v>0</v>
      </c>
      <c r="H5" s="33">
        <f>IFERROR(__xludf.DUMMYFUNCTION("IMPORTRANGE(""https://docs.google.com/spreadsheets/d/12IEdVEBjKQJvqAAWPA8r9wBGS_rRrYVNO7dHXE_rk60/edit?gid=901536474#gid=901536474"",""3756!Z2"")"),0.0)</f>
        <v>0</v>
      </c>
      <c r="I5" s="33">
        <f>IFERROR(__xludf.DUMMYFUNCTION("IMPORTRANGE(""https://docs.google.com/spreadsheets/d/1LB7ejmtgeP477BH1-F2FJlKUu_JQOyifPAyaNOOGBD0/edit?gid=901536474#gid=901536474"",""3756!Z2"")"),0.0)</f>
        <v>0</v>
      </c>
      <c r="J5" s="33">
        <f>IFERROR(__xludf.DUMMYFUNCTION("IMPORTRANGE(""https://docs.google.com/spreadsheets/d/1b2lul54I9-5u3ezeokOV5YBImAWXrqMYLSuPw_3-hIw/edit?usp=drive_web&amp;ouid=100730119819154221963"",""3756!Z2"")"),0.0)</f>
        <v>0</v>
      </c>
      <c r="K5" s="193">
        <v>44.0</v>
      </c>
      <c r="L5" s="193">
        <f t="shared" si="1"/>
        <v>54</v>
      </c>
      <c r="M5" s="41">
        <f t="shared" si="2"/>
        <v>98</v>
      </c>
      <c r="N5" s="44" t="s">
        <v>42</v>
      </c>
      <c r="O5" s="108"/>
      <c r="P5" s="108">
        <v>20.0</v>
      </c>
      <c r="Q5" s="108">
        <v>20.0</v>
      </c>
      <c r="Z5" s="18"/>
    </row>
    <row r="6">
      <c r="A6" s="43" t="s">
        <v>29</v>
      </c>
      <c r="B6" s="110" t="s">
        <v>177</v>
      </c>
      <c r="C6" s="33">
        <f>IFERROR(__xludf.DUMMYFUNCTION("IMPORTRANGE(""https://docs.google.com/spreadsheets/d/1ca8cMhzyOckHdNiYinDsEvnGp85K2P0HF-MddinrGXM/edit?gid=901536474#gid=901536474"",""3757!Z2"")"),0.0)</f>
        <v>0</v>
      </c>
      <c r="D6" s="33">
        <f>IFERROR(__xludf.DUMMYFUNCTION("IMPORTRANGE(""https://docs.google.com/spreadsheets/d/1ZPIx2zimbu-1zeGuxfxkhXNgqhfTssUS5s9k5cZf2wc/edit?gid=901536474#gid=901536474"",""3757!Z2"")"),33.0)</f>
        <v>33</v>
      </c>
      <c r="E6" s="33">
        <f>IFERROR(__xludf.DUMMYFUNCTION("IMPORTRANGE(""https://docs.google.com/spreadsheets/d/1XMcMRG5YO-goaR1U_4jER5WefHmr96--8gyjWBUNI6k/edit?gid=901536474#gid=901536474"",""3757!Z2"")"),83.0)</f>
        <v>83</v>
      </c>
      <c r="F6" s="33">
        <f>IFERROR(__xludf.DUMMYFUNCTION("IMPORTRANGE(""https://docs.google.com/spreadsheets/d/1MA0wBASwppm9FIO036lHI8xvhSVH0v5HYfXfVjKbcyQ/edit?usp=drive_web&amp;ouid=100730119819154221963"",""3757!Z2"")"),0.0)</f>
        <v>0</v>
      </c>
      <c r="G6" s="33">
        <f>IFERROR(__xludf.DUMMYFUNCTION("IMPORTRANGE(""https://docs.google.com/spreadsheets/d/1D2vfyqvZrSRB3H2syxflheuiQYzNPTpGgOdgFd9uWlk/edit?gid=901536474#gid=901536474"",""3757!Z2"")"),0.0)</f>
        <v>0</v>
      </c>
      <c r="H6" s="33">
        <f>IFERROR(__xludf.DUMMYFUNCTION("IMPORTRANGE(""https://docs.google.com/spreadsheets/d/12IEdVEBjKQJvqAAWPA8r9wBGS_rRrYVNO7dHXE_rk60/edit?gid=901536474#gid=901536474"",""3757!Z2"")"),0.0)</f>
        <v>0</v>
      </c>
      <c r="I6" s="33">
        <f>IFERROR(__xludf.DUMMYFUNCTION("IMPORTRANGE(""https://docs.google.com/spreadsheets/d/1LB7ejmtgeP477BH1-F2FJlKUu_JQOyifPAyaNOOGBD0/edit?gid=901536474#gid=901536474"",""3757!Z2"")"),0.0)</f>
        <v>0</v>
      </c>
      <c r="J6" s="33">
        <f>IFERROR(__xludf.DUMMYFUNCTION("IMPORTRANGE(""https://docs.google.com/spreadsheets/d/1b2lul54I9-5u3ezeokOV5YBImAWXrqMYLSuPw_3-hIw/edit?usp=drive_web&amp;ouid=100730119819154221963"",""3757!Z2"")"),0.0)</f>
        <v>0</v>
      </c>
      <c r="K6" s="193">
        <v>55.0</v>
      </c>
      <c r="L6" s="193">
        <f t="shared" si="1"/>
        <v>61</v>
      </c>
      <c r="M6" s="41">
        <f t="shared" si="2"/>
        <v>116</v>
      </c>
      <c r="N6" s="104"/>
      <c r="O6" s="105"/>
      <c r="P6" s="104"/>
      <c r="Q6" s="104"/>
      <c r="Z6" s="39"/>
    </row>
    <row r="7">
      <c r="A7" s="43" t="s">
        <v>29</v>
      </c>
      <c r="B7" s="110" t="s">
        <v>179</v>
      </c>
      <c r="C7" s="33">
        <f>IFERROR(__xludf.DUMMYFUNCTION("IMPORTRANGE(""https://docs.google.com/spreadsheets/d/1ca8cMhzyOckHdNiYinDsEvnGp85K2P0HF-MddinrGXM/edit?gid=901536474#gid=901536474"",""3758!Z2"")"),8.0)</f>
        <v>8</v>
      </c>
      <c r="D7" s="33">
        <f>IFERROR(__xludf.DUMMYFUNCTION("IMPORTRANGE(""https://docs.google.com/spreadsheets/d/1ZPIx2zimbu-1zeGuxfxkhXNgqhfTssUS5s9k5cZf2wc/edit?gid=901536474#gid=901536474"",""3758!Z2"")"),24.0)</f>
        <v>24</v>
      </c>
      <c r="E7" s="33">
        <f>IFERROR(__xludf.DUMMYFUNCTION("IMPORTRANGE(""https://docs.google.com/spreadsheets/d/1XMcMRG5YO-goaR1U_4jER5WefHmr96--8gyjWBUNI6k/edit?gid=901536474#gid=901536474"",""3758!Z2"")"),18.0)</f>
        <v>18</v>
      </c>
      <c r="F7" s="33">
        <f>IFERROR(__xludf.DUMMYFUNCTION("IMPORTRANGE(""https://docs.google.com/spreadsheets/d/1MA0wBASwppm9FIO036lHI8xvhSVH0v5HYfXfVjKbcyQ/edit?usp=drive_web&amp;ouid=100730119819154221963"",""3758!Z2"")"),0.0)</f>
        <v>0</v>
      </c>
      <c r="G7" s="33">
        <f>IFERROR(__xludf.DUMMYFUNCTION("IMPORTRANGE(""https://docs.google.com/spreadsheets/d/1D2vfyqvZrSRB3H2syxflheuiQYzNPTpGgOdgFd9uWlk/edit?gid=901536474#gid=901536474"",""3758!Z2"")"),4.0)</f>
        <v>4</v>
      </c>
      <c r="H7" s="33">
        <f>IFERROR(__xludf.DUMMYFUNCTION("IMPORTRANGE(""https://docs.google.com/spreadsheets/d/12IEdVEBjKQJvqAAWPA8r9wBGS_rRrYVNO7dHXE_rk60/edit?gid=901536474#gid=901536474"",""3758!Z2"")"),0.0)</f>
        <v>0</v>
      </c>
      <c r="I7" s="33">
        <f>IFERROR(__xludf.DUMMYFUNCTION("IMPORTRANGE(""https://docs.google.com/spreadsheets/d/1LB7ejmtgeP477BH1-F2FJlKUu_JQOyifPAyaNOOGBD0/edit?gid=901536474#gid=901536474"",""3758!Z2"")"),0.0)</f>
        <v>0</v>
      </c>
      <c r="J7" s="33">
        <f>IFERROR(__xludf.DUMMYFUNCTION("IMPORTRANGE(""https://docs.google.com/spreadsheets/d/1b2lul54I9-5u3ezeokOV5YBImAWXrqMYLSuPw_3-hIw/edit?usp=drive_web&amp;ouid=100730119819154221963"",""3758!Z2"")"),0.0)</f>
        <v>0</v>
      </c>
      <c r="K7" s="193">
        <v>28.0</v>
      </c>
      <c r="L7" s="193">
        <f t="shared" si="1"/>
        <v>26</v>
      </c>
      <c r="M7" s="41">
        <f t="shared" si="2"/>
        <v>54</v>
      </c>
      <c r="N7" s="104"/>
      <c r="O7" s="105"/>
      <c r="P7" s="104"/>
      <c r="Q7" s="104"/>
      <c r="Z7" s="39"/>
    </row>
    <row r="8">
      <c r="A8" s="43" t="s">
        <v>29</v>
      </c>
      <c r="B8" s="110" t="s">
        <v>181</v>
      </c>
      <c r="C8" s="33">
        <f>IFERROR(__xludf.DUMMYFUNCTION("IMPORTRANGE(""https://docs.google.com/spreadsheets/d/1ca8cMhzyOckHdNiYinDsEvnGp85K2P0HF-MddinrGXM/edit?gid=901536474#gid=901536474"",""3759!Z2"")"),0.0)</f>
        <v>0</v>
      </c>
      <c r="D8" s="33">
        <f>IFERROR(__xludf.DUMMYFUNCTION("IMPORTRANGE(""https://docs.google.com/spreadsheets/d/1ZPIx2zimbu-1zeGuxfxkhXNgqhfTssUS5s9k5cZf2wc/edit?gid=901536474#gid=901536474"",""3759!Z2"")"),8.0)</f>
        <v>8</v>
      </c>
      <c r="E8" s="33">
        <f>IFERROR(__xludf.DUMMYFUNCTION("IMPORTRANGE(""https://docs.google.com/spreadsheets/d/1XMcMRG5YO-goaR1U_4jER5WefHmr96--8gyjWBUNI6k/edit?gid=901536474#gid=901536474"",""3759!Z2"")"),88.0)</f>
        <v>88</v>
      </c>
      <c r="F8" s="33">
        <f>IFERROR(__xludf.DUMMYFUNCTION("IMPORTRANGE(""https://docs.google.com/spreadsheets/d/1MA0wBASwppm9FIO036lHI8xvhSVH0v5HYfXfVjKbcyQ/edit?usp=drive_web&amp;ouid=100730119819154221963"",""3759!Z2"")"),0.0)</f>
        <v>0</v>
      </c>
      <c r="G8" s="33">
        <f>IFERROR(__xludf.DUMMYFUNCTION("IMPORTRANGE(""https://docs.google.com/spreadsheets/d/1D2vfyqvZrSRB3H2syxflheuiQYzNPTpGgOdgFd9uWlk/edit?gid=901536474#gid=901536474"",""3759!Z2"")"),0.0)</f>
        <v>0</v>
      </c>
      <c r="H8" s="33">
        <f>IFERROR(__xludf.DUMMYFUNCTION("IMPORTRANGE(""https://docs.google.com/spreadsheets/d/12IEdVEBjKQJvqAAWPA8r9wBGS_rRrYVNO7dHXE_rk60/edit?gid=901536474#gid=901536474"",""3759!Z2"")"),0.0)</f>
        <v>0</v>
      </c>
      <c r="I8" s="33">
        <f>IFERROR(__xludf.DUMMYFUNCTION("IMPORTRANGE(""https://docs.google.com/spreadsheets/d/1LB7ejmtgeP477BH1-F2FJlKUu_JQOyifPAyaNOOGBD0/edit?gid=901536474#gid=901536474"",""3759!Z2"")"),0.0)</f>
        <v>0</v>
      </c>
      <c r="J8" s="33">
        <f>IFERROR(__xludf.DUMMYFUNCTION("IMPORTRANGE(""https://docs.google.com/spreadsheets/d/1b2lul54I9-5u3ezeokOV5YBImAWXrqMYLSuPw_3-hIw/edit?usp=drive_web&amp;ouid=100730119819154221963"",""3759!Z2"")"),0.0)</f>
        <v>0</v>
      </c>
      <c r="K8" s="193">
        <v>40.0</v>
      </c>
      <c r="L8" s="193">
        <f t="shared" si="1"/>
        <v>96</v>
      </c>
      <c r="M8" s="41">
        <f t="shared" si="2"/>
        <v>136</v>
      </c>
      <c r="N8" s="44" t="s">
        <v>42</v>
      </c>
      <c r="O8" s="108"/>
      <c r="P8" s="108">
        <v>20.0</v>
      </c>
      <c r="Q8" s="108">
        <v>20.0</v>
      </c>
      <c r="Z8" s="7"/>
    </row>
    <row r="9">
      <c r="A9" s="43" t="s">
        <v>29</v>
      </c>
      <c r="B9" s="110" t="s">
        <v>183</v>
      </c>
      <c r="C9" s="33">
        <f>IFERROR(__xludf.DUMMYFUNCTION("IMPORTRANGE(""https://docs.google.com/spreadsheets/d/1ca8cMhzyOckHdNiYinDsEvnGp85K2P0HF-MddinrGXM/edit?gid=901536474#gid=901536474"",""3760!Z2"")"),0.0)</f>
        <v>0</v>
      </c>
      <c r="D9" s="33">
        <f>IFERROR(__xludf.DUMMYFUNCTION("IMPORTRANGE(""https://docs.google.com/spreadsheets/d/1ZPIx2zimbu-1zeGuxfxkhXNgqhfTssUS5s9k5cZf2wc/edit?gid=901536474#gid=901536474"",""3760!Z2"")"),52.0)</f>
        <v>52</v>
      </c>
      <c r="E9" s="33">
        <f>IFERROR(__xludf.DUMMYFUNCTION("IMPORTRANGE(""https://docs.google.com/spreadsheets/d/1XMcMRG5YO-goaR1U_4jER5WefHmr96--8gyjWBUNI6k/edit?gid=901536474#gid=901536474"",""3760!Z2"")"),50.0)</f>
        <v>50</v>
      </c>
      <c r="F9" s="33">
        <f>IFERROR(__xludf.DUMMYFUNCTION("IMPORTRANGE(""https://docs.google.com/spreadsheets/d/1MA0wBASwppm9FIO036lHI8xvhSVH0v5HYfXfVjKbcyQ/edit?usp=drive_web&amp;ouid=100730119819154221963"",""3760!Z2"")"),0.0)</f>
        <v>0</v>
      </c>
      <c r="G9" s="33">
        <f>IFERROR(__xludf.DUMMYFUNCTION("IMPORTRANGE(""https://docs.google.com/spreadsheets/d/1D2vfyqvZrSRB3H2syxflheuiQYzNPTpGgOdgFd9uWlk/edit?gid=901536474#gid=901536474"",""3760!Z2"")"),0.0)</f>
        <v>0</v>
      </c>
      <c r="H9" s="33">
        <f>IFERROR(__xludf.DUMMYFUNCTION("IMPORTRANGE(""https://docs.google.com/spreadsheets/d/12IEdVEBjKQJvqAAWPA8r9wBGS_rRrYVNO7dHXE_rk60/edit?gid=901536474#gid=901536474"",""3760!Z2"")"),0.0)</f>
        <v>0</v>
      </c>
      <c r="I9" s="33">
        <f>IFERROR(__xludf.DUMMYFUNCTION("IMPORTRANGE(""https://docs.google.com/spreadsheets/d/1LB7ejmtgeP477BH1-F2FJlKUu_JQOyifPAyaNOOGBD0/edit?gid=901536474#gid=901536474"",""3760!Z2"")"),0.0)</f>
        <v>0</v>
      </c>
      <c r="J9" s="33">
        <f>IFERROR(__xludf.DUMMYFUNCTION("IMPORTRANGE(""https://docs.google.com/spreadsheets/d/1b2lul54I9-5u3ezeokOV5YBImAWXrqMYLSuPw_3-hIw/edit?usp=drive_web&amp;ouid=100730119819154221963"",""3760!Z2"")"),0.0)</f>
        <v>0</v>
      </c>
      <c r="K9" s="193">
        <v>54.0</v>
      </c>
      <c r="L9" s="193">
        <f t="shared" si="1"/>
        <v>48</v>
      </c>
      <c r="M9" s="41">
        <f t="shared" si="2"/>
        <v>102</v>
      </c>
      <c r="N9" s="104"/>
      <c r="O9" s="105"/>
      <c r="P9" s="104"/>
      <c r="Q9" s="104"/>
      <c r="Z9" s="7"/>
    </row>
    <row r="10">
      <c r="A10" s="100" t="s">
        <v>29</v>
      </c>
      <c r="B10" s="111" t="s">
        <v>185</v>
      </c>
      <c r="C10" s="194">
        <f>IFERROR(__xludf.DUMMYFUNCTION("IMPORTRANGE(""https://docs.google.com/spreadsheets/d/1ca8cMhzyOckHdNiYinDsEvnGp85K2P0HF-MddinrGXM/edit?gid=901536474#gid=901536474"",""3761!Z2"")"),0.0)</f>
        <v>0</v>
      </c>
      <c r="D10" s="194">
        <f>IFERROR(__xludf.DUMMYFUNCTION("IMPORTRANGE(""https://docs.google.com/spreadsheets/d/1ZPIx2zimbu-1zeGuxfxkhXNgqhfTssUS5s9k5cZf2wc/edit?gid=901536474#gid=901536474"",""3761!Z2"")"),28.0)</f>
        <v>28</v>
      </c>
      <c r="E10" s="194">
        <f>IFERROR(__xludf.DUMMYFUNCTION("IMPORTRANGE(""https://docs.google.com/spreadsheets/d/1XMcMRG5YO-goaR1U_4jER5WefHmr96--8gyjWBUNI6k/edit?gid=901536474#gid=901536474"",""3761!Z2"")"),19.0)</f>
        <v>19</v>
      </c>
      <c r="F10" s="194">
        <f>IFERROR(__xludf.DUMMYFUNCTION("IMPORTRANGE(""https://docs.google.com/spreadsheets/d/1MA0wBASwppm9FIO036lHI8xvhSVH0v5HYfXfVjKbcyQ/edit?usp=drive_web&amp;ouid=100730119819154221963"",""3761!Z2"")"),0.0)</f>
        <v>0</v>
      </c>
      <c r="G10" s="194">
        <f>IFERROR(__xludf.DUMMYFUNCTION("IMPORTRANGE(""https://docs.google.com/spreadsheets/d/1D2vfyqvZrSRB3H2syxflheuiQYzNPTpGgOdgFd9uWlk/edit?gid=901536474#gid=901536474"",""3761!Z2"")"),0.0)</f>
        <v>0</v>
      </c>
      <c r="H10" s="194">
        <f>IFERROR(__xludf.DUMMYFUNCTION("IMPORTRANGE(""https://docs.google.com/spreadsheets/d/12IEdVEBjKQJvqAAWPA8r9wBGS_rRrYVNO7dHXE_rk60/edit?gid=901536474#gid=901536474"",""3761!Z2"")"),2.0)</f>
        <v>2</v>
      </c>
      <c r="I10" s="194">
        <f>IFERROR(__xludf.DUMMYFUNCTION("IMPORTRANGE(""https://docs.google.com/spreadsheets/d/1LB7ejmtgeP477BH1-F2FJlKUu_JQOyifPAyaNOOGBD0/edit?gid=901536474#gid=901536474"",""3761!Z2"")"),0.0)</f>
        <v>0</v>
      </c>
      <c r="J10" s="194">
        <f>IFERROR(__xludf.DUMMYFUNCTION("IMPORTRANGE(""https://docs.google.com/spreadsheets/d/1b2lul54I9-5u3ezeokOV5YBImAWXrqMYLSuPw_3-hIw/edit?usp=drive_web&amp;ouid=100730119819154221963"",""3761!Z2"")"),3.0)</f>
        <v>3</v>
      </c>
      <c r="K10" s="195">
        <v>25.0</v>
      </c>
      <c r="L10" s="195">
        <f t="shared" si="1"/>
        <v>27</v>
      </c>
      <c r="M10" s="103">
        <f t="shared" si="2"/>
        <v>52</v>
      </c>
      <c r="N10" s="196"/>
      <c r="O10" s="197"/>
      <c r="P10" s="196"/>
      <c r="Q10" s="196"/>
      <c r="R10" s="198"/>
      <c r="S10" s="198"/>
      <c r="T10" s="198"/>
      <c r="U10" s="198"/>
      <c r="V10" s="198"/>
      <c r="W10" s="198"/>
      <c r="X10" s="198"/>
      <c r="Y10" s="198"/>
      <c r="Z10" s="200"/>
    </row>
    <row r="11">
      <c r="A11" s="43" t="s">
        <v>29</v>
      </c>
      <c r="B11" s="110" t="s">
        <v>187</v>
      </c>
      <c r="C11" s="33">
        <f>IFERROR(__xludf.DUMMYFUNCTION("IMPORTRANGE(""https://docs.google.com/spreadsheets/d/1ca8cMhzyOckHdNiYinDsEvnGp85K2P0HF-MddinrGXM/edit?gid=901536474#gid=901536474"",""3762!Z2"")"),8.0)</f>
        <v>8</v>
      </c>
      <c r="D11" s="33">
        <f>IFERROR(__xludf.DUMMYFUNCTION("IMPORTRANGE(""https://docs.google.com/spreadsheets/d/1ZPIx2zimbu-1zeGuxfxkhXNgqhfTssUS5s9k5cZf2wc/edit?gid=901536474#gid=901536474"",""3762!Z2"")"),24.0)</f>
        <v>24</v>
      </c>
      <c r="E11" s="33">
        <f>IFERROR(__xludf.DUMMYFUNCTION("IMPORTRANGE(""https://docs.google.com/spreadsheets/d/1XMcMRG5YO-goaR1U_4jER5WefHmr96--8gyjWBUNI6k/edit?gid=901536474#gid=901536474"",""3762!Z2"")"),35.0)</f>
        <v>35</v>
      </c>
      <c r="F11" s="33">
        <f>IFERROR(__xludf.DUMMYFUNCTION("IMPORTRANGE(""https://docs.google.com/spreadsheets/d/1MA0wBASwppm9FIO036lHI8xvhSVH0v5HYfXfVjKbcyQ/edit?usp=drive_web&amp;ouid=100730119819154221963"",""3762!Z2"")"),0.0)</f>
        <v>0</v>
      </c>
      <c r="G11" s="33">
        <f>IFERROR(__xludf.DUMMYFUNCTION("IMPORTRANGE(""https://docs.google.com/spreadsheets/d/1D2vfyqvZrSRB3H2syxflheuiQYzNPTpGgOdgFd9uWlk/edit?gid=901536474#gid=901536474"",""3762!Z2"")"),0.0)</f>
        <v>0</v>
      </c>
      <c r="H11" s="33">
        <f>IFERROR(__xludf.DUMMYFUNCTION("IMPORTRANGE(""https://docs.google.com/spreadsheets/d/12IEdVEBjKQJvqAAWPA8r9wBGS_rRrYVNO7dHXE_rk60/edit?gid=901536474#gid=901536474"",""3762!Z2"")"),0.0)</f>
        <v>0</v>
      </c>
      <c r="I11" s="33">
        <f>IFERROR(__xludf.DUMMYFUNCTION("IMPORTRANGE(""https://docs.google.com/spreadsheets/d/1LB7ejmtgeP477BH1-F2FJlKUu_JQOyifPAyaNOOGBD0/edit?gid=901536474#gid=901536474"",""3762!Z2"")"),0.0)</f>
        <v>0</v>
      </c>
      <c r="J11" s="33">
        <f>IFERROR(__xludf.DUMMYFUNCTION("IMPORTRANGE(""https://docs.google.com/spreadsheets/d/1b2lul54I9-5u3ezeokOV5YBImAWXrqMYLSuPw_3-hIw/edit?usp=drive_web&amp;ouid=100730119819154221963"",""3762!Z2"")"),0.0)</f>
        <v>0</v>
      </c>
      <c r="K11" s="193">
        <v>50.0</v>
      </c>
      <c r="L11" s="193">
        <f t="shared" si="1"/>
        <v>57</v>
      </c>
      <c r="M11" s="41">
        <f t="shared" si="2"/>
        <v>107</v>
      </c>
      <c r="N11" s="44" t="s">
        <v>34</v>
      </c>
      <c r="O11" s="108"/>
      <c r="P11" s="108">
        <v>20.0</v>
      </c>
      <c r="Q11" s="108">
        <v>20.0</v>
      </c>
      <c r="Z11" s="7"/>
    </row>
    <row r="12">
      <c r="A12" s="43" t="s">
        <v>29</v>
      </c>
      <c r="B12" s="110" t="s">
        <v>189</v>
      </c>
      <c r="C12" s="33">
        <f>IFERROR(__xludf.DUMMYFUNCTION("IMPORTRANGE(""https://docs.google.com/spreadsheets/d/1ca8cMhzyOckHdNiYinDsEvnGp85K2P0HF-MddinrGXM/edit?gid=901536474#gid=901536474"",""3763!Z2"")"),0.0)</f>
        <v>0</v>
      </c>
      <c r="D12" s="33">
        <f>IFERROR(__xludf.DUMMYFUNCTION("IMPORTRANGE(""https://docs.google.com/spreadsheets/d/1ZPIx2zimbu-1zeGuxfxkhXNgqhfTssUS5s9k5cZf2wc/edit?gid=901536474#gid=901536474"",""3763!Z2"")"),32.0)</f>
        <v>32</v>
      </c>
      <c r="E12" s="33">
        <f>IFERROR(__xludf.DUMMYFUNCTION("IMPORTRANGE(""https://docs.google.com/spreadsheets/d/1XMcMRG5YO-goaR1U_4jER5WefHmr96--8gyjWBUNI6k/edit?gid=901536474#gid=901536474"",""3763!Z2"")"),18.0)</f>
        <v>18</v>
      </c>
      <c r="F12" s="33">
        <f>IFERROR(__xludf.DUMMYFUNCTION("IMPORTRANGE(""https://docs.google.com/spreadsheets/d/1MA0wBASwppm9FIO036lHI8xvhSVH0v5HYfXfVjKbcyQ/edit?usp=drive_web&amp;ouid=100730119819154221963"",""3763!Z2"")"),0.0)</f>
        <v>0</v>
      </c>
      <c r="G12" s="33">
        <f>IFERROR(__xludf.DUMMYFUNCTION("IMPORTRANGE(""https://docs.google.com/spreadsheets/d/1D2vfyqvZrSRB3H2syxflheuiQYzNPTpGgOdgFd9uWlk/edit?gid=901536474#gid=901536474"",""3763!Z2"")"),0.0)</f>
        <v>0</v>
      </c>
      <c r="H12" s="33">
        <f>IFERROR(__xludf.DUMMYFUNCTION("IMPORTRANGE(""https://docs.google.com/spreadsheets/d/12IEdVEBjKQJvqAAWPA8r9wBGS_rRrYVNO7dHXE_rk60/edit?gid=901536474#gid=901536474"",""3763!Z2"")"),0.0)</f>
        <v>0</v>
      </c>
      <c r="I12" s="33">
        <f>IFERROR(__xludf.DUMMYFUNCTION("IMPORTRANGE(""https://docs.google.com/spreadsheets/d/1LB7ejmtgeP477BH1-F2FJlKUu_JQOyifPAyaNOOGBD0/edit?gid=901536474#gid=901536474"",""3763!Z2"")"),0.0)</f>
        <v>0</v>
      </c>
      <c r="J12" s="33">
        <f>IFERROR(__xludf.DUMMYFUNCTION("IMPORTRANGE(""https://docs.google.com/spreadsheets/d/1b2lul54I9-5u3ezeokOV5YBImAWXrqMYLSuPw_3-hIw/edit?usp=drive_web&amp;ouid=100730119819154221963"",""3763!Z2"")"),1.0)</f>
        <v>1</v>
      </c>
      <c r="K12" s="193">
        <v>25.0</v>
      </c>
      <c r="L12" s="193">
        <f t="shared" si="1"/>
        <v>26</v>
      </c>
      <c r="M12" s="41">
        <f t="shared" si="2"/>
        <v>51</v>
      </c>
      <c r="N12" s="104"/>
      <c r="O12" s="105"/>
      <c r="P12" s="104"/>
      <c r="Q12" s="104"/>
      <c r="Z12" s="7"/>
    </row>
    <row r="13">
      <c r="A13" s="100" t="s">
        <v>29</v>
      </c>
      <c r="B13" s="111" t="s">
        <v>191</v>
      </c>
      <c r="C13" s="194">
        <f>IFERROR(__xludf.DUMMYFUNCTION("IMPORTRANGE(""https://docs.google.com/spreadsheets/d/1ca8cMhzyOckHdNiYinDsEvnGp85K2P0HF-MddinrGXM/edit?gid=901536474#gid=901536474"",""3764!Z2"")"),8.0)</f>
        <v>8</v>
      </c>
      <c r="D13" s="194">
        <f>IFERROR(__xludf.DUMMYFUNCTION("IMPORTRANGE(""https://docs.google.com/spreadsheets/d/1ZPIx2zimbu-1zeGuxfxkhXNgqhfTssUS5s9k5cZf2wc/edit?gid=901536474#gid=901536474"",""3764!Z2"")"),80.0)</f>
        <v>80</v>
      </c>
      <c r="E13" s="194">
        <f>IFERROR(__xludf.DUMMYFUNCTION("IMPORTRANGE(""https://docs.google.com/spreadsheets/d/1XMcMRG5YO-goaR1U_4jER5WefHmr96--8gyjWBUNI6k/edit?gid=901536474#gid=901536474"",""3764!Z2"")"),18.0)</f>
        <v>18</v>
      </c>
      <c r="F13" s="194">
        <f>IFERROR(__xludf.DUMMYFUNCTION("IMPORTRANGE(""https://docs.google.com/spreadsheets/d/1MA0wBASwppm9FIO036lHI8xvhSVH0v5HYfXfVjKbcyQ/edit?usp=drive_web&amp;ouid=100730119819154221963"",""3764!Z2"")"),0.0)</f>
        <v>0</v>
      </c>
      <c r="G13" s="194">
        <f>IFERROR(__xludf.DUMMYFUNCTION("IMPORTRANGE(""https://docs.google.com/spreadsheets/d/1D2vfyqvZrSRB3H2syxflheuiQYzNPTpGgOdgFd9uWlk/edit?gid=901536474#gid=901536474"",""3764!Z2"")"),0.0)</f>
        <v>0</v>
      </c>
      <c r="H13" s="194">
        <f>IFERROR(__xludf.DUMMYFUNCTION("IMPORTRANGE(""https://docs.google.com/spreadsheets/d/12IEdVEBjKQJvqAAWPA8r9wBGS_rRrYVNO7dHXE_rk60/edit?gid=901536474#gid=901536474"",""3764!Z2"")"),0.0)</f>
        <v>0</v>
      </c>
      <c r="I13" s="194">
        <f>IFERROR(__xludf.DUMMYFUNCTION("IMPORTRANGE(""https://docs.google.com/spreadsheets/d/1LB7ejmtgeP477BH1-F2FJlKUu_JQOyifPAyaNOOGBD0/edit?gid=901536474#gid=901536474"",""3764!Z2"")"),6.0)</f>
        <v>6</v>
      </c>
      <c r="J13" s="194">
        <f>IFERROR(__xludf.DUMMYFUNCTION("IMPORTRANGE(""https://docs.google.com/spreadsheets/d/1b2lul54I9-5u3ezeokOV5YBImAWXrqMYLSuPw_3-hIw/edit?usp=drive_web&amp;ouid=100730119819154221963"",""3764!Z2"")"),2.0)</f>
        <v>2</v>
      </c>
      <c r="K13" s="195">
        <v>82.0</v>
      </c>
      <c r="L13" s="195">
        <f t="shared" si="1"/>
        <v>32</v>
      </c>
      <c r="M13" s="103">
        <f t="shared" si="2"/>
        <v>114</v>
      </c>
      <c r="N13" s="196"/>
      <c r="O13" s="197"/>
      <c r="P13" s="196"/>
      <c r="Q13" s="196"/>
      <c r="R13" s="198"/>
      <c r="S13" s="198"/>
      <c r="T13" s="198"/>
      <c r="U13" s="198"/>
      <c r="V13" s="198"/>
      <c r="W13" s="198"/>
      <c r="X13" s="198"/>
      <c r="Y13" s="198"/>
      <c r="Z13" s="200"/>
    </row>
    <row r="14">
      <c r="A14" s="100" t="s">
        <v>29</v>
      </c>
      <c r="B14" s="111" t="s">
        <v>193</v>
      </c>
      <c r="C14" s="194">
        <f>IFERROR(__xludf.DUMMYFUNCTION("IMPORTRANGE(""https://docs.google.com/spreadsheets/d/1ca8cMhzyOckHdNiYinDsEvnGp85K2P0HF-MddinrGXM/edit?gid=901536474#gid=901536474"",""3765!Z2"")"),0.0)</f>
        <v>0</v>
      </c>
      <c r="D14" s="194">
        <f>IFERROR(__xludf.DUMMYFUNCTION("IMPORTRANGE(""https://docs.google.com/spreadsheets/d/1ZPIx2zimbu-1zeGuxfxkhXNgqhfTssUS5s9k5cZf2wc/edit?gid=901536474#gid=901536474"",""3765!Z2"")"),0.0)</f>
        <v>0</v>
      </c>
      <c r="E14" s="194">
        <f>IFERROR(__xludf.DUMMYFUNCTION("IMPORTRANGE(""https://docs.google.com/spreadsheets/d/1XMcMRG5YO-goaR1U_4jER5WefHmr96--8gyjWBUNI6k/edit?gid=901536474#gid=901536474"",""3765!Z2"")"),28.0)</f>
        <v>28</v>
      </c>
      <c r="F14" s="194">
        <f>IFERROR(__xludf.DUMMYFUNCTION("IMPORTRANGE(""https://docs.google.com/spreadsheets/d/1MA0wBASwppm9FIO036lHI8xvhSVH0v5HYfXfVjKbcyQ/edit?usp=drive_web&amp;ouid=100730119819154221963"",""3765!Z2"")"),0.0)</f>
        <v>0</v>
      </c>
      <c r="G14" s="194">
        <f>IFERROR(__xludf.DUMMYFUNCTION("IMPORTRANGE(""https://docs.google.com/spreadsheets/d/1D2vfyqvZrSRB3H2syxflheuiQYzNPTpGgOdgFd9uWlk/edit?gid=901536474#gid=901536474"",""3765!Z2"")"),0.0)</f>
        <v>0</v>
      </c>
      <c r="H14" s="194">
        <f>IFERROR(__xludf.DUMMYFUNCTION("IMPORTRANGE(""https://docs.google.com/spreadsheets/d/12IEdVEBjKQJvqAAWPA8r9wBGS_rRrYVNO7dHXE_rk60/edit?gid=901536474#gid=901536474"",""3765!Z2"")"),0.0)</f>
        <v>0</v>
      </c>
      <c r="I14" s="194">
        <f>IFERROR(__xludf.DUMMYFUNCTION("IMPORTRANGE(""https://docs.google.com/spreadsheets/d/1LB7ejmtgeP477BH1-F2FJlKUu_JQOyifPAyaNOOGBD0/edit?gid=901536474#gid=901536474"",""3765!Z2"")"),0.0)</f>
        <v>0</v>
      </c>
      <c r="J14" s="194">
        <f>IFERROR(__xludf.DUMMYFUNCTION("IMPORTRANGE(""https://docs.google.com/spreadsheets/d/1b2lul54I9-5u3ezeokOV5YBImAWXrqMYLSuPw_3-hIw/edit?usp=drive_web&amp;ouid=100730119819154221963"",""3765!Z2"")"),0.0)</f>
        <v>0</v>
      </c>
      <c r="K14" s="195">
        <v>40.0</v>
      </c>
      <c r="L14" s="195">
        <f t="shared" si="1"/>
        <v>28</v>
      </c>
      <c r="M14" s="103">
        <f t="shared" si="2"/>
        <v>68</v>
      </c>
      <c r="N14" s="201" t="s">
        <v>34</v>
      </c>
      <c r="O14" s="202"/>
      <c r="P14" s="202">
        <v>20.0</v>
      </c>
      <c r="Q14" s="202">
        <v>20.0</v>
      </c>
      <c r="R14" s="198"/>
      <c r="S14" s="198"/>
      <c r="T14" s="198"/>
      <c r="U14" s="198"/>
      <c r="V14" s="198"/>
      <c r="W14" s="198"/>
      <c r="X14" s="198"/>
      <c r="Y14" s="198"/>
      <c r="Z14" s="200"/>
    </row>
    <row r="15">
      <c r="A15" s="43" t="s">
        <v>29</v>
      </c>
      <c r="B15" s="110" t="s">
        <v>195</v>
      </c>
      <c r="C15" s="33">
        <f>IFERROR(__xludf.DUMMYFUNCTION("IMPORTRANGE(""https://docs.google.com/spreadsheets/d/1ca8cMhzyOckHdNiYinDsEvnGp85K2P0HF-MddinrGXM/edit?gid=901536474#gid=901536474"",""3766!Z2"")"),0.0)</f>
        <v>0</v>
      </c>
      <c r="D15" s="33">
        <f>IFERROR(__xludf.DUMMYFUNCTION("IMPORTRANGE(""https://docs.google.com/spreadsheets/d/1ZPIx2zimbu-1zeGuxfxkhXNgqhfTssUS5s9k5cZf2wc/edit?gid=901536474#gid=901536474"",""3766!Z2"")"),60.0)</f>
        <v>60</v>
      </c>
      <c r="E15" s="33">
        <f>IFERROR(__xludf.DUMMYFUNCTION("IMPORTRANGE(""https://docs.google.com/spreadsheets/d/1XMcMRG5YO-goaR1U_4jER5WefHmr96--8gyjWBUNI6k/edit?gid=901536474#gid=901536474"",""3766!Z2"")"),46.0)</f>
        <v>46</v>
      </c>
      <c r="F15" s="33">
        <f>IFERROR(__xludf.DUMMYFUNCTION("IMPORTRANGE(""https://docs.google.com/spreadsheets/d/1MA0wBASwppm9FIO036lHI8xvhSVH0v5HYfXfVjKbcyQ/edit?usp=drive_web&amp;ouid=100730119819154221963"",""3766!Z2"")"),0.0)</f>
        <v>0</v>
      </c>
      <c r="G15" s="33">
        <f>IFERROR(__xludf.DUMMYFUNCTION("IMPORTRANGE(""https://docs.google.com/spreadsheets/d/1D2vfyqvZrSRB3H2syxflheuiQYzNPTpGgOdgFd9uWlk/edit?gid=901536474#gid=901536474"",""3766!Z2"")"),0.0)</f>
        <v>0</v>
      </c>
      <c r="H15" s="33">
        <f>IFERROR(__xludf.DUMMYFUNCTION("IMPORTRANGE(""https://docs.google.com/spreadsheets/d/12IEdVEBjKQJvqAAWPA8r9wBGS_rRrYVNO7dHXE_rk60/edit?gid=901536474#gid=901536474"",""3766!Z2"")"),0.0)</f>
        <v>0</v>
      </c>
      <c r="I15" s="33">
        <f>IFERROR(__xludf.DUMMYFUNCTION("IMPORTRANGE(""https://docs.google.com/spreadsheets/d/1LB7ejmtgeP477BH1-F2FJlKUu_JQOyifPAyaNOOGBD0/edit?gid=901536474#gid=901536474"",""3766!Z2"")"),0.0)</f>
        <v>0</v>
      </c>
      <c r="J15" s="33">
        <f>IFERROR(__xludf.DUMMYFUNCTION("IMPORTRANGE(""https://docs.google.com/spreadsheets/d/1b2lul54I9-5u3ezeokOV5YBImAWXrqMYLSuPw_3-hIw/edit?usp=drive_web&amp;ouid=100730119819154221963"",""3766!Z2"")"),2.0)</f>
        <v>2</v>
      </c>
      <c r="K15" s="193">
        <v>66.0</v>
      </c>
      <c r="L15" s="193">
        <f t="shared" si="1"/>
        <v>82</v>
      </c>
      <c r="M15" s="41">
        <f t="shared" si="2"/>
        <v>148</v>
      </c>
      <c r="N15" s="112" t="s">
        <v>196</v>
      </c>
      <c r="O15" s="108"/>
      <c r="P15" s="108">
        <v>20.0</v>
      </c>
      <c r="Q15" s="108">
        <v>20.0</v>
      </c>
      <c r="Z15" s="7"/>
    </row>
    <row r="16">
      <c r="A16" s="43" t="s">
        <v>29</v>
      </c>
      <c r="B16" s="110" t="s">
        <v>198</v>
      </c>
      <c r="C16" s="33">
        <f>IFERROR(__xludf.DUMMYFUNCTION("IMPORTRANGE(""https://docs.google.com/spreadsheets/d/1ca8cMhzyOckHdNiYinDsEvnGp85K2P0HF-MddinrGXM/edit?gid=901536474#gid=901536474"",""3767!Z2"")"),0.0)</f>
        <v>0</v>
      </c>
      <c r="D16" s="33">
        <f>IFERROR(__xludf.DUMMYFUNCTION("IMPORTRANGE(""https://docs.google.com/spreadsheets/d/1ZPIx2zimbu-1zeGuxfxkhXNgqhfTssUS5s9k5cZf2wc/edit?gid=901536474#gid=901536474"",""3767!Z2"")"),28.0)</f>
        <v>28</v>
      </c>
      <c r="E16" s="33">
        <f>IFERROR(__xludf.DUMMYFUNCTION("IMPORTRANGE(""https://docs.google.com/spreadsheets/d/1XMcMRG5YO-goaR1U_4jER5WefHmr96--8gyjWBUNI6k/edit?gid=901536474#gid=901536474"",""3767!Z2"")"),45.0)</f>
        <v>45</v>
      </c>
      <c r="F16" s="33">
        <f>IFERROR(__xludf.DUMMYFUNCTION("IMPORTRANGE(""https://docs.google.com/spreadsheets/d/1MA0wBASwppm9FIO036lHI8xvhSVH0v5HYfXfVjKbcyQ/edit?usp=drive_web&amp;ouid=100730119819154221963"",""3767!Z2"")"),0.0)</f>
        <v>0</v>
      </c>
      <c r="G16" s="33">
        <f>IFERROR(__xludf.DUMMYFUNCTION("IMPORTRANGE(""https://docs.google.com/spreadsheets/d/1D2vfyqvZrSRB3H2syxflheuiQYzNPTpGgOdgFd9uWlk/edit?gid=901536474#gid=901536474"",""3767!Z2"")"),0.0)</f>
        <v>0</v>
      </c>
      <c r="H16" s="33">
        <f>IFERROR(__xludf.DUMMYFUNCTION("IMPORTRANGE(""https://docs.google.com/spreadsheets/d/12IEdVEBjKQJvqAAWPA8r9wBGS_rRrYVNO7dHXE_rk60/edit?gid=901536474#gid=901536474"",""3767!Z2"")"),0.0)</f>
        <v>0</v>
      </c>
      <c r="I16" s="33">
        <f>IFERROR(__xludf.DUMMYFUNCTION("IMPORTRANGE(""https://docs.google.com/spreadsheets/d/1LB7ejmtgeP477BH1-F2FJlKUu_JQOyifPAyaNOOGBD0/edit?gid=901536474#gid=901536474"",""3767!Z2"")"),0.0)</f>
        <v>0</v>
      </c>
      <c r="J16" s="33">
        <f>IFERROR(__xludf.DUMMYFUNCTION("IMPORTRANGE(""https://docs.google.com/spreadsheets/d/1b2lul54I9-5u3ezeokOV5YBImAWXrqMYLSuPw_3-hIw/edit?usp=drive_web&amp;ouid=100730119819154221963"",""3767!Z2"")"),0.0)</f>
        <v>0</v>
      </c>
      <c r="K16" s="193">
        <v>40.0</v>
      </c>
      <c r="L16" s="193">
        <f t="shared" si="1"/>
        <v>33</v>
      </c>
      <c r="M16" s="41">
        <f t="shared" si="2"/>
        <v>73</v>
      </c>
      <c r="N16" s="104"/>
      <c r="O16" s="105"/>
      <c r="P16" s="104"/>
      <c r="Q16" s="104"/>
      <c r="Z16" s="7"/>
    </row>
    <row r="17">
      <c r="A17" s="43" t="s">
        <v>29</v>
      </c>
      <c r="B17" s="110" t="s">
        <v>200</v>
      </c>
      <c r="C17" s="33">
        <f>IFERROR(__xludf.DUMMYFUNCTION("IMPORTRANGE(""https://docs.google.com/spreadsheets/d/1ca8cMhzyOckHdNiYinDsEvnGp85K2P0HF-MddinrGXM/edit?gid=901536474#gid=901536474"",""3768!Z2"")"),0.0)</f>
        <v>0</v>
      </c>
      <c r="D17" s="33">
        <f>IFERROR(__xludf.DUMMYFUNCTION("IMPORTRANGE(""https://docs.google.com/spreadsheets/d/1ZPIx2zimbu-1zeGuxfxkhXNgqhfTssUS5s9k5cZf2wc/edit?gid=901536474#gid=901536474"",""3768!Z2"")"),28.0)</f>
        <v>28</v>
      </c>
      <c r="E17" s="33">
        <f>IFERROR(__xludf.DUMMYFUNCTION("IMPORTRANGE(""https://docs.google.com/spreadsheets/d/1XMcMRG5YO-goaR1U_4jER5WefHmr96--8gyjWBUNI6k/edit?gid=901536474#gid=901536474"",""3768!Z2"")"),16.0)</f>
        <v>16</v>
      </c>
      <c r="F17" s="33">
        <f>IFERROR(__xludf.DUMMYFUNCTION("IMPORTRANGE(""https://docs.google.com/spreadsheets/d/1MA0wBASwppm9FIO036lHI8xvhSVH0v5HYfXfVjKbcyQ/edit?usp=drive_web&amp;ouid=100730119819154221963"",""3768!Z2"")"),0.0)</f>
        <v>0</v>
      </c>
      <c r="G17" s="33">
        <f>IFERROR(__xludf.DUMMYFUNCTION("IMPORTRANGE(""https://docs.google.com/spreadsheets/d/1D2vfyqvZrSRB3H2syxflheuiQYzNPTpGgOdgFd9uWlk/edit?gid=901536474#gid=901536474"",""3768!Z2"")"),0.0)</f>
        <v>0</v>
      </c>
      <c r="H17" s="33">
        <f>IFERROR(__xludf.DUMMYFUNCTION("IMPORTRANGE(""https://docs.google.com/spreadsheets/d/12IEdVEBjKQJvqAAWPA8r9wBGS_rRrYVNO7dHXE_rk60/edit?gid=901536474#gid=901536474"",""3768!Z2"")"),0.0)</f>
        <v>0</v>
      </c>
      <c r="I17" s="33">
        <f>IFERROR(__xludf.DUMMYFUNCTION("IMPORTRANGE(""https://docs.google.com/spreadsheets/d/1LB7ejmtgeP477BH1-F2FJlKUu_JQOyifPAyaNOOGBD0/edit?gid=901536474#gid=901536474"",""3768!Z2"")"),0.0)</f>
        <v>0</v>
      </c>
      <c r="J17" s="33">
        <f>IFERROR(__xludf.DUMMYFUNCTION("IMPORTRANGE(""https://docs.google.com/spreadsheets/d/1b2lul54I9-5u3ezeokOV5YBImAWXrqMYLSuPw_3-hIw/edit?usp=drive_web&amp;ouid=100730119819154221963"",""3768!Z2"")"),0.0)</f>
        <v>0</v>
      </c>
      <c r="K17" s="193">
        <v>40.0</v>
      </c>
      <c r="L17" s="193">
        <f t="shared" si="1"/>
        <v>44</v>
      </c>
      <c r="M17" s="41">
        <f t="shared" si="2"/>
        <v>84</v>
      </c>
      <c r="N17" s="44" t="s">
        <v>34</v>
      </c>
      <c r="O17" s="108"/>
      <c r="P17" s="108">
        <v>20.0</v>
      </c>
      <c r="Q17" s="108">
        <v>20.0</v>
      </c>
      <c r="Z17" s="7"/>
    </row>
    <row r="18">
      <c r="A18" s="43" t="s">
        <v>29</v>
      </c>
      <c r="B18" s="110" t="s">
        <v>202</v>
      </c>
      <c r="C18" s="33">
        <f>IFERROR(__xludf.DUMMYFUNCTION("IMPORTRANGE(""https://docs.google.com/spreadsheets/d/1ca8cMhzyOckHdNiYinDsEvnGp85K2P0HF-MddinrGXM/edit?gid=901536474#gid=901536474"",""3769!Z2"")"),8.0)</f>
        <v>8</v>
      </c>
      <c r="D18" s="33">
        <f>IFERROR(__xludf.DUMMYFUNCTION("IMPORTRANGE(""https://docs.google.com/spreadsheets/d/1ZPIx2zimbu-1zeGuxfxkhXNgqhfTssUS5s9k5cZf2wc/edit?gid=901536474#gid=901536474"",""3769!Z2"")"),64.0)</f>
        <v>64</v>
      </c>
      <c r="E18" s="33">
        <f>IFERROR(__xludf.DUMMYFUNCTION("IMPORTRANGE(""https://docs.google.com/spreadsheets/d/1XMcMRG5YO-goaR1U_4jER5WefHmr96--8gyjWBUNI6k/edit?gid=901536474#gid=901536474"",""3769!Z2"")"),27.0)</f>
        <v>27</v>
      </c>
      <c r="F18" s="33">
        <f>IFERROR(__xludf.DUMMYFUNCTION("IMPORTRANGE(""https://docs.google.com/spreadsheets/d/1MA0wBASwppm9FIO036lHI8xvhSVH0v5HYfXfVjKbcyQ/edit?usp=drive_web&amp;ouid=100730119819154221963"",""3769!Z2"")"),0.0)</f>
        <v>0</v>
      </c>
      <c r="G18" s="33">
        <f>IFERROR(__xludf.DUMMYFUNCTION("IMPORTRANGE(""https://docs.google.com/spreadsheets/d/1D2vfyqvZrSRB3H2syxflheuiQYzNPTpGgOdgFd9uWlk/edit?gid=901536474#gid=901536474"",""3769!Z2"")"),0.0)</f>
        <v>0</v>
      </c>
      <c r="H18" s="33">
        <f>IFERROR(__xludf.DUMMYFUNCTION("IMPORTRANGE(""https://docs.google.com/spreadsheets/d/12IEdVEBjKQJvqAAWPA8r9wBGS_rRrYVNO7dHXE_rk60/edit?gid=901536474#gid=901536474"",""3769!Z2"")"),0.0)</f>
        <v>0</v>
      </c>
      <c r="I18" s="33">
        <f>IFERROR(__xludf.DUMMYFUNCTION("IMPORTRANGE(""https://docs.google.com/spreadsheets/d/1LB7ejmtgeP477BH1-F2FJlKUu_JQOyifPAyaNOOGBD0/edit?gid=901536474#gid=901536474"",""3769!Z2"")"),0.0)</f>
        <v>0</v>
      </c>
      <c r="J18" s="33">
        <f>IFERROR(__xludf.DUMMYFUNCTION("IMPORTRANGE(""https://docs.google.com/spreadsheets/d/1b2lul54I9-5u3ezeokOV5YBImAWXrqMYLSuPw_3-hIw/edit?usp=drive_web&amp;ouid=100730119819154221963"",""3769!Z2"")"),0.0)</f>
        <v>0</v>
      </c>
      <c r="K18" s="193">
        <v>48.0</v>
      </c>
      <c r="L18" s="193">
        <f t="shared" si="1"/>
        <v>51</v>
      </c>
      <c r="M18" s="41">
        <f t="shared" si="2"/>
        <v>99</v>
      </c>
      <c r="N18" s="104"/>
      <c r="O18" s="105"/>
      <c r="P18" s="104"/>
      <c r="Q18" s="104"/>
      <c r="Z18" s="7"/>
    </row>
    <row r="19">
      <c r="A19" s="43" t="s">
        <v>29</v>
      </c>
      <c r="B19" s="110" t="s">
        <v>204</v>
      </c>
      <c r="C19" s="33">
        <f>IFERROR(__xludf.DUMMYFUNCTION("IMPORTRANGE(""https://docs.google.com/spreadsheets/d/1ca8cMhzyOckHdNiYinDsEvnGp85K2P0HF-MddinrGXM/edit?gid=901536474#gid=901536474"",""3770!Z2"")"),0.0)</f>
        <v>0</v>
      </c>
      <c r="D19" s="33">
        <f>IFERROR(__xludf.DUMMYFUNCTION("IMPORTRANGE(""https://docs.google.com/spreadsheets/d/1ZPIx2zimbu-1zeGuxfxkhXNgqhfTssUS5s9k5cZf2wc/edit?gid=901536474#gid=901536474"",""3770!Z2"")"),16.0)</f>
        <v>16</v>
      </c>
      <c r="E19" s="33">
        <f>IFERROR(__xludf.DUMMYFUNCTION("IMPORTRANGE(""https://docs.google.com/spreadsheets/d/1XMcMRG5YO-goaR1U_4jER5WefHmr96--8gyjWBUNI6k/edit?gid=901536474#gid=901536474"",""3770!Z2"")"),21.0)</f>
        <v>21</v>
      </c>
      <c r="F19" s="33">
        <f>IFERROR(__xludf.DUMMYFUNCTION("IMPORTRANGE(""https://docs.google.com/spreadsheets/d/1MA0wBASwppm9FIO036lHI8xvhSVH0v5HYfXfVjKbcyQ/edit?usp=drive_web&amp;ouid=100730119819154221963"",""3770!Z2"")"),0.0)</f>
        <v>0</v>
      </c>
      <c r="G19" s="33">
        <f>IFERROR(__xludf.DUMMYFUNCTION("IMPORTRANGE(""https://docs.google.com/spreadsheets/d/1D2vfyqvZrSRB3H2syxflheuiQYzNPTpGgOdgFd9uWlk/edit?gid=901536474#gid=901536474"",""3770!Z2"")"),4.0)</f>
        <v>4</v>
      </c>
      <c r="H19" s="33">
        <f>IFERROR(__xludf.DUMMYFUNCTION("IMPORTRANGE(""https://docs.google.com/spreadsheets/d/12IEdVEBjKQJvqAAWPA8r9wBGS_rRrYVNO7dHXE_rk60/edit?gid=901536474#gid=901536474"",""3770!Z2"")"),0.0)</f>
        <v>0</v>
      </c>
      <c r="I19" s="33">
        <f>IFERROR(__xludf.DUMMYFUNCTION("IMPORTRANGE(""https://docs.google.com/spreadsheets/d/1LB7ejmtgeP477BH1-F2FJlKUu_JQOyifPAyaNOOGBD0/edit?gid=901536474#gid=901536474"",""3770!Z2"")"),0.0)</f>
        <v>0</v>
      </c>
      <c r="J19" s="33">
        <f>IFERROR(__xludf.DUMMYFUNCTION("IMPORTRANGE(""https://docs.google.com/spreadsheets/d/1b2lul54I9-5u3ezeokOV5YBImAWXrqMYLSuPw_3-hIw/edit?usp=drive_web&amp;ouid=100730119819154221963"",""3770!Z2"")"),0.0)</f>
        <v>0</v>
      </c>
      <c r="K19" s="193">
        <v>40.0</v>
      </c>
      <c r="L19" s="193">
        <f t="shared" si="1"/>
        <v>41</v>
      </c>
      <c r="M19" s="41">
        <f t="shared" si="2"/>
        <v>81</v>
      </c>
      <c r="N19" s="44" t="s">
        <v>196</v>
      </c>
      <c r="O19" s="108"/>
      <c r="P19" s="108">
        <v>20.0</v>
      </c>
      <c r="Q19" s="108">
        <v>20.0</v>
      </c>
      <c r="Z19" s="7"/>
    </row>
    <row r="20">
      <c r="A20" s="100" t="s">
        <v>29</v>
      </c>
      <c r="B20" s="111" t="s">
        <v>206</v>
      </c>
      <c r="C20" s="194">
        <f>IFERROR(__xludf.DUMMYFUNCTION("IMPORTRANGE(""https://docs.google.com/spreadsheets/d/1ca8cMhzyOckHdNiYinDsEvnGp85K2P0HF-MddinrGXM/edit?gid=901536474#gid=901536474"",""3771!Z2"")"),0.0)</f>
        <v>0</v>
      </c>
      <c r="D20" s="194">
        <f>IFERROR(__xludf.DUMMYFUNCTION("IMPORTRANGE(""https://docs.google.com/spreadsheets/d/1ZPIx2zimbu-1zeGuxfxkhXNgqhfTssUS5s9k5cZf2wc/edit?gid=901536474#gid=901536474"",""3771!Z2"")"),113.0)</f>
        <v>113</v>
      </c>
      <c r="E20" s="194">
        <f>IFERROR(__xludf.DUMMYFUNCTION("IMPORTRANGE(""https://docs.google.com/spreadsheets/d/1XMcMRG5YO-goaR1U_4jER5WefHmr96--8gyjWBUNI6k/edit?gid=901536474#gid=901536474"",""3771!Z2"")"),65.0)</f>
        <v>65</v>
      </c>
      <c r="F20" s="194">
        <f>IFERROR(__xludf.DUMMYFUNCTION("IMPORTRANGE(""https://docs.google.com/spreadsheets/d/1MA0wBASwppm9FIO036lHI8xvhSVH0v5HYfXfVjKbcyQ/edit?usp=drive_web&amp;ouid=100730119819154221963"",""3771!Z2"")"),0.0)</f>
        <v>0</v>
      </c>
      <c r="G20" s="194">
        <f>IFERROR(__xludf.DUMMYFUNCTION("IMPORTRANGE(""https://docs.google.com/spreadsheets/d/1D2vfyqvZrSRB3H2syxflheuiQYzNPTpGgOdgFd9uWlk/edit?gid=901536474#gid=901536474"",""3771!Z2"")"),0.0)</f>
        <v>0</v>
      </c>
      <c r="H20" s="194">
        <f>IFERROR(__xludf.DUMMYFUNCTION("IMPORTRANGE(""https://docs.google.com/spreadsheets/d/12IEdVEBjKQJvqAAWPA8r9wBGS_rRrYVNO7dHXE_rk60/edit?gid=901536474#gid=901536474"",""3771!Z2"")"),0.0)</f>
        <v>0</v>
      </c>
      <c r="I20" s="194">
        <f>IFERROR(__xludf.DUMMYFUNCTION("IMPORTRANGE(""https://docs.google.com/spreadsheets/d/1LB7ejmtgeP477BH1-F2FJlKUu_JQOyifPAyaNOOGBD0/edit?gid=901536474#gid=901536474"",""3771!Z2"")"),0.0)</f>
        <v>0</v>
      </c>
      <c r="J20" s="194">
        <f>IFERROR(__xludf.DUMMYFUNCTION("IMPORTRANGE(""https://docs.google.com/spreadsheets/d/1b2lul54I9-5u3ezeokOV5YBImAWXrqMYLSuPw_3-hIw/edit?usp=drive_web&amp;ouid=100730119819154221963"",""3771!Z2"")"),0.0)</f>
        <v>0</v>
      </c>
      <c r="K20" s="195">
        <v>107.0</v>
      </c>
      <c r="L20" s="195">
        <f t="shared" si="1"/>
        <v>71</v>
      </c>
      <c r="M20" s="103">
        <f t="shared" si="2"/>
        <v>178</v>
      </c>
      <c r="N20" s="196"/>
      <c r="O20" s="197"/>
      <c r="P20" s="196"/>
      <c r="Q20" s="196"/>
      <c r="R20" s="198"/>
      <c r="S20" s="198"/>
      <c r="T20" s="198"/>
      <c r="U20" s="198"/>
      <c r="V20" s="198"/>
      <c r="W20" s="198"/>
      <c r="X20" s="198"/>
      <c r="Y20" s="198"/>
      <c r="Z20" s="200"/>
    </row>
    <row r="21">
      <c r="A21" s="43" t="s">
        <v>29</v>
      </c>
      <c r="B21" s="110" t="s">
        <v>208</v>
      </c>
      <c r="C21" s="33">
        <f>IFERROR(__xludf.DUMMYFUNCTION("IMPORTRANGE(""https://docs.google.com/spreadsheets/d/1ca8cMhzyOckHdNiYinDsEvnGp85K2P0HF-MddinrGXM/edit?gid=901536474#gid=901536474"",""3772!Z2"")"),0.0)</f>
        <v>0</v>
      </c>
      <c r="D21" s="33">
        <f>IFERROR(__xludf.DUMMYFUNCTION("IMPORTRANGE(""https://docs.google.com/spreadsheets/d/1ZPIx2zimbu-1zeGuxfxkhXNgqhfTssUS5s9k5cZf2wc/edit?gid=901536474#gid=901536474"",""3772!Z2"")"),68.0)</f>
        <v>68</v>
      </c>
      <c r="E21" s="33">
        <f>IFERROR(__xludf.DUMMYFUNCTION("IMPORTRANGE(""https://docs.google.com/spreadsheets/d/1XMcMRG5YO-goaR1U_4jER5WefHmr96--8gyjWBUNI6k/edit?gid=901536474#gid=901536474"",""3772!Z2"")"),7.0)</f>
        <v>7</v>
      </c>
      <c r="F21" s="33">
        <f>IFERROR(__xludf.DUMMYFUNCTION("IMPORTRANGE(""https://docs.google.com/spreadsheets/d/1MA0wBASwppm9FIO036lHI8xvhSVH0v5HYfXfVjKbcyQ/edit?usp=drive_web&amp;ouid=100730119819154221963"",""3772!Z2"")"),0.0)</f>
        <v>0</v>
      </c>
      <c r="G21" s="33">
        <f>IFERROR(__xludf.DUMMYFUNCTION("IMPORTRANGE(""https://docs.google.com/spreadsheets/d/1D2vfyqvZrSRB3H2syxflheuiQYzNPTpGgOdgFd9uWlk/edit?gid=901536474#gid=901536474"",""3772!Z2"")"),0.0)</f>
        <v>0</v>
      </c>
      <c r="H21" s="33">
        <f>IFERROR(__xludf.DUMMYFUNCTION("IMPORTRANGE(""https://docs.google.com/spreadsheets/d/12IEdVEBjKQJvqAAWPA8r9wBGS_rRrYVNO7dHXE_rk60/edit?gid=901536474#gid=901536474"",""3772!Z2"")"),0.0)</f>
        <v>0</v>
      </c>
      <c r="I21" s="33">
        <f>IFERROR(__xludf.DUMMYFUNCTION("IMPORTRANGE(""https://docs.google.com/spreadsheets/d/1LB7ejmtgeP477BH1-F2FJlKUu_JQOyifPAyaNOOGBD0/edit?gid=901536474#gid=901536474"",""3772!Z2"")"),0.0)</f>
        <v>0</v>
      </c>
      <c r="J21" s="33">
        <f>IFERROR(__xludf.DUMMYFUNCTION("IMPORTRANGE(""https://docs.google.com/spreadsheets/d/1b2lul54I9-5u3ezeokOV5YBImAWXrqMYLSuPw_3-hIw/edit?usp=drive_web&amp;ouid=100730119819154221963"",""3772!Z2"")"),2.0)</f>
        <v>2</v>
      </c>
      <c r="K21" s="193">
        <v>46.0</v>
      </c>
      <c r="L21" s="193">
        <f t="shared" si="1"/>
        <v>31</v>
      </c>
      <c r="M21" s="41">
        <f t="shared" si="2"/>
        <v>77</v>
      </c>
      <c r="N21" s="104"/>
      <c r="O21" s="105"/>
      <c r="P21" s="104"/>
      <c r="Q21" s="104"/>
      <c r="Z21" s="7"/>
    </row>
    <row r="22">
      <c r="A22" s="43" t="s">
        <v>29</v>
      </c>
      <c r="B22" s="110" t="s">
        <v>210</v>
      </c>
      <c r="C22" s="33">
        <f>IFERROR(__xludf.DUMMYFUNCTION("IMPORTRANGE(""https://docs.google.com/spreadsheets/d/1ca8cMhzyOckHdNiYinDsEvnGp85K2P0HF-MddinrGXM/edit?gid=901536474#gid=901536474"",""3773!Z2"")"),16.0)</f>
        <v>16</v>
      </c>
      <c r="D22" s="33">
        <f>IFERROR(__xludf.DUMMYFUNCTION("IMPORTRANGE(""https://docs.google.com/spreadsheets/d/1ZPIx2zimbu-1zeGuxfxkhXNgqhfTssUS5s9k5cZf2wc/edit?gid=901536474#gid=901536474"",""3773!Z2"")"),49.0)</f>
        <v>49</v>
      </c>
      <c r="E22" s="33">
        <f>IFERROR(__xludf.DUMMYFUNCTION("IMPORTRANGE(""https://docs.google.com/spreadsheets/d/1XMcMRG5YO-goaR1U_4jER5WefHmr96--8gyjWBUNI6k/edit?gid=901536474#gid=901536474"",""3773!Z2"")"),73.0)</f>
        <v>73</v>
      </c>
      <c r="F22" s="33">
        <f>IFERROR(__xludf.DUMMYFUNCTION("IMPORTRANGE(""https://docs.google.com/spreadsheets/d/1MA0wBASwppm9FIO036lHI8xvhSVH0v5HYfXfVjKbcyQ/edit?usp=drive_web&amp;ouid=100730119819154221963"",""3773!Z2"")"),0.0)</f>
        <v>0</v>
      </c>
      <c r="G22" s="33">
        <f>IFERROR(__xludf.DUMMYFUNCTION("IMPORTRANGE(""https://docs.google.com/spreadsheets/d/1D2vfyqvZrSRB3H2syxflheuiQYzNPTpGgOdgFd9uWlk/edit?gid=901536474#gid=901536474"",""3773!Z2"")"),0.0)</f>
        <v>0</v>
      </c>
      <c r="H22" s="33">
        <f>IFERROR(__xludf.DUMMYFUNCTION("IMPORTRANGE(""https://docs.google.com/spreadsheets/d/12IEdVEBjKQJvqAAWPA8r9wBGS_rRrYVNO7dHXE_rk60/edit?gid=901536474#gid=901536474"",""3773!Z2"")"),0.0)</f>
        <v>0</v>
      </c>
      <c r="I22" s="33">
        <f>IFERROR(__xludf.DUMMYFUNCTION("IMPORTRANGE(""https://docs.google.com/spreadsheets/d/1LB7ejmtgeP477BH1-F2FJlKUu_JQOyifPAyaNOOGBD0/edit?gid=901536474#gid=901536474"",""3773!Z2"")"),0.0)</f>
        <v>0</v>
      </c>
      <c r="J22" s="33">
        <f>IFERROR(__xludf.DUMMYFUNCTION("IMPORTRANGE(""https://docs.google.com/spreadsheets/d/1b2lul54I9-5u3ezeokOV5YBImAWXrqMYLSuPw_3-hIw/edit?usp=drive_web&amp;ouid=100730119819154221963"",""3773!Z2"")"),0.0)</f>
        <v>0</v>
      </c>
      <c r="K22" s="193">
        <v>53.0</v>
      </c>
      <c r="L22" s="193">
        <f t="shared" si="1"/>
        <v>85</v>
      </c>
      <c r="M22" s="41">
        <f t="shared" si="2"/>
        <v>138</v>
      </c>
      <c r="N22" s="104"/>
      <c r="O22" s="105"/>
      <c r="P22" s="104"/>
      <c r="Q22" s="104"/>
      <c r="Z22" s="7"/>
    </row>
    <row r="23">
      <c r="A23" s="43" t="s">
        <v>29</v>
      </c>
      <c r="B23" s="110" t="s">
        <v>212</v>
      </c>
      <c r="C23" s="33">
        <f>IFERROR(__xludf.DUMMYFUNCTION("IMPORTRANGE(""https://docs.google.com/spreadsheets/d/1ca8cMhzyOckHdNiYinDsEvnGp85K2P0HF-MddinrGXM/edit?gid=901536474#gid=901536474"",""3774!Z2"")"),0.0)</f>
        <v>0</v>
      </c>
      <c r="D23" s="33">
        <f>IFERROR(__xludf.DUMMYFUNCTION("IMPORTRANGE(""https://docs.google.com/spreadsheets/d/1ZPIx2zimbu-1zeGuxfxkhXNgqhfTssUS5s9k5cZf2wc/edit?gid=901536474#gid=901536474"",""3774!Z2"")"),48.0)</f>
        <v>48</v>
      </c>
      <c r="E23" s="33">
        <f>IFERROR(__xludf.DUMMYFUNCTION("IMPORTRANGE(""https://docs.google.com/spreadsheets/d/1XMcMRG5YO-goaR1U_4jER5WefHmr96--8gyjWBUNI6k/edit?gid=901536474#gid=901536474"",""3774!Z2"")"),23.0)</f>
        <v>23</v>
      </c>
      <c r="F23" s="33">
        <f>IFERROR(__xludf.DUMMYFUNCTION("IMPORTRANGE(""https://docs.google.com/spreadsheets/d/1MA0wBASwppm9FIO036lHI8xvhSVH0v5HYfXfVjKbcyQ/edit?usp=drive_web&amp;ouid=100730119819154221963"",""3774!Z2"")"),0.0)</f>
        <v>0</v>
      </c>
      <c r="G23" s="33">
        <f>IFERROR(__xludf.DUMMYFUNCTION("IMPORTRANGE(""https://docs.google.com/spreadsheets/d/1D2vfyqvZrSRB3H2syxflheuiQYzNPTpGgOdgFd9uWlk/edit?gid=901536474#gid=901536474"",""3774!Z2"")"),0.0)</f>
        <v>0</v>
      </c>
      <c r="H23" s="33">
        <f>IFERROR(__xludf.DUMMYFUNCTION("IMPORTRANGE(""https://docs.google.com/spreadsheets/d/12IEdVEBjKQJvqAAWPA8r9wBGS_rRrYVNO7dHXE_rk60/edit?gid=901536474#gid=901536474"",""3774!Z2"")"),0.0)</f>
        <v>0</v>
      </c>
      <c r="I23" s="33">
        <f>IFERROR(__xludf.DUMMYFUNCTION("IMPORTRANGE(""https://docs.google.com/spreadsheets/d/1LB7ejmtgeP477BH1-F2FJlKUu_JQOyifPAyaNOOGBD0/edit?gid=901536474#gid=901536474"",""3774!Z2"")"),0.0)</f>
        <v>0</v>
      </c>
      <c r="J23" s="33">
        <f>IFERROR(__xludf.DUMMYFUNCTION("IMPORTRANGE(""https://docs.google.com/spreadsheets/d/1b2lul54I9-5u3ezeokOV5YBImAWXrqMYLSuPw_3-hIw/edit?usp=drive_web&amp;ouid=100730119819154221963"",""3774!Z2"")"),0.0)</f>
        <v>0</v>
      </c>
      <c r="K23" s="193">
        <v>40.0</v>
      </c>
      <c r="L23" s="193">
        <f t="shared" si="1"/>
        <v>31</v>
      </c>
      <c r="M23" s="41">
        <f t="shared" si="2"/>
        <v>71</v>
      </c>
      <c r="N23" s="104"/>
      <c r="O23" s="105"/>
      <c r="P23" s="104"/>
      <c r="Q23" s="104"/>
      <c r="Z23" s="7"/>
    </row>
    <row r="24">
      <c r="A24" s="203" t="s">
        <v>29</v>
      </c>
      <c r="B24" s="204" t="s">
        <v>214</v>
      </c>
      <c r="C24" s="205">
        <f>IFERROR(__xludf.DUMMYFUNCTION("IMPORTRANGE(""https://docs.google.com/spreadsheets/d/1ca8cMhzyOckHdNiYinDsEvnGp85K2P0HF-MddinrGXM/edit?gid=901536474#gid=901536474"",""3775!Z2"")"),0.0)</f>
        <v>0</v>
      </c>
      <c r="D24" s="205">
        <f>IFERROR(__xludf.DUMMYFUNCTION("IMPORTRANGE(""https://docs.google.com/spreadsheets/d/1ZPIx2zimbu-1zeGuxfxkhXNgqhfTssUS5s9k5cZf2wc/edit?gid=901536474#gid=901536474"",""3775!Z2"")"),0.0)</f>
        <v>0</v>
      </c>
      <c r="E24" s="205">
        <f>IFERROR(__xludf.DUMMYFUNCTION("IMPORTRANGE(""https://docs.google.com/spreadsheets/d/1XMcMRG5YO-goaR1U_4jER5WefHmr96--8gyjWBUNI6k/edit?gid=901536474#gid=901536474"",""3775!Z2"")"),0.0)</f>
        <v>0</v>
      </c>
      <c r="F24" s="205">
        <f>IFERROR(__xludf.DUMMYFUNCTION("IMPORTRANGE(""https://docs.google.com/spreadsheets/d/1MA0wBASwppm9FIO036lHI8xvhSVH0v5HYfXfVjKbcyQ/edit?usp=drive_web&amp;ouid=100730119819154221963"",""3775!Z2"")"),0.0)</f>
        <v>0</v>
      </c>
      <c r="G24" s="205">
        <f>IFERROR(__xludf.DUMMYFUNCTION("IMPORTRANGE(""https://docs.google.com/spreadsheets/d/1D2vfyqvZrSRB3H2syxflheuiQYzNPTpGgOdgFd9uWlk/edit?gid=901536474#gid=901536474"",""3775!Z2"")"),0.0)</f>
        <v>0</v>
      </c>
      <c r="H24" s="205">
        <f>IFERROR(__xludf.DUMMYFUNCTION("IMPORTRANGE(""https://docs.google.com/spreadsheets/d/12IEdVEBjKQJvqAAWPA8r9wBGS_rRrYVNO7dHXE_rk60/edit?gid=901536474#gid=901536474"",""3775!Z2"")"),0.0)</f>
        <v>0</v>
      </c>
      <c r="I24" s="205">
        <f>IFERROR(__xludf.DUMMYFUNCTION("IMPORTRANGE(""https://docs.google.com/spreadsheets/d/1LB7ejmtgeP477BH1-F2FJlKUu_JQOyifPAyaNOOGBD0/edit?gid=901536474#gid=901536474"",""3775!Z2"")"),0.0)</f>
        <v>0</v>
      </c>
      <c r="J24" s="205">
        <f>IFERROR(__xludf.DUMMYFUNCTION("IMPORTRANGE(""https://docs.google.com/spreadsheets/d/1b2lul54I9-5u3ezeokOV5YBImAWXrqMYLSuPw_3-hIw/edit?usp=drive_web&amp;ouid=100730119819154221963"",""3775!Z2"")"),0.0)</f>
        <v>0</v>
      </c>
      <c r="K24" s="206">
        <v>0.0</v>
      </c>
      <c r="L24" s="206">
        <f t="shared" si="1"/>
        <v>0</v>
      </c>
      <c r="M24" s="207">
        <f t="shared" si="2"/>
        <v>0</v>
      </c>
      <c r="N24" s="208" t="s">
        <v>47</v>
      </c>
      <c r="O24" s="209"/>
      <c r="P24" s="210">
        <v>0.0</v>
      </c>
      <c r="Q24" s="210">
        <v>0.0</v>
      </c>
      <c r="R24" s="211"/>
      <c r="S24" s="211"/>
      <c r="T24" s="211"/>
      <c r="U24" s="211"/>
      <c r="V24" s="211"/>
      <c r="W24" s="211"/>
      <c r="X24" s="211"/>
      <c r="Y24" s="211"/>
      <c r="Z24" s="212"/>
    </row>
    <row r="25">
      <c r="A25" s="43" t="s">
        <v>29</v>
      </c>
      <c r="B25" s="110" t="s">
        <v>216</v>
      </c>
      <c r="C25" s="33">
        <f>IFERROR(__xludf.DUMMYFUNCTION("IMPORTRANGE(""https://docs.google.com/spreadsheets/d/1ca8cMhzyOckHdNiYinDsEvnGp85K2P0HF-MddinrGXM/edit?gid=901536474#gid=901536474"",""3776!Z2"")"),16.0)</f>
        <v>16</v>
      </c>
      <c r="D25" s="33">
        <f>IFERROR(__xludf.DUMMYFUNCTION("IMPORTRANGE(""https://docs.google.com/spreadsheets/d/1ZPIx2zimbu-1zeGuxfxkhXNgqhfTssUS5s9k5cZf2wc/edit?gid=901536474#gid=901536474"",""3776!Z2"")"),28.0)</f>
        <v>28</v>
      </c>
      <c r="E25" s="33">
        <f>IFERROR(__xludf.DUMMYFUNCTION("IMPORTRANGE(""https://docs.google.com/spreadsheets/d/1XMcMRG5YO-goaR1U_4jER5WefHmr96--8gyjWBUNI6k/edit?gid=901536474#gid=901536474"",""3776!Z2"")"),15.0)</f>
        <v>15</v>
      </c>
      <c r="F25" s="33">
        <f>IFERROR(__xludf.DUMMYFUNCTION("IMPORTRANGE(""https://docs.google.com/spreadsheets/d/1MA0wBASwppm9FIO036lHI8xvhSVH0v5HYfXfVjKbcyQ/edit?usp=drive_web&amp;ouid=100730119819154221963"",""3776!Z2"")"),0.0)</f>
        <v>0</v>
      </c>
      <c r="G25" s="33">
        <f>IFERROR(__xludf.DUMMYFUNCTION("IMPORTRANGE(""https://docs.google.com/spreadsheets/d/1D2vfyqvZrSRB3H2syxflheuiQYzNPTpGgOdgFd9uWlk/edit?gid=901536474#gid=901536474"",""3776!Z2"")"),0.0)</f>
        <v>0</v>
      </c>
      <c r="H25" s="33">
        <f>IFERROR(__xludf.DUMMYFUNCTION("IMPORTRANGE(""https://docs.google.com/spreadsheets/d/12IEdVEBjKQJvqAAWPA8r9wBGS_rRrYVNO7dHXE_rk60/edit?gid=901536474#gid=901536474"",""3776!Z2"")"),0.0)</f>
        <v>0</v>
      </c>
      <c r="I25" s="33">
        <f>IFERROR(__xludf.DUMMYFUNCTION("IMPORTRANGE(""https://docs.google.com/spreadsheets/d/1LB7ejmtgeP477BH1-F2FJlKUu_JQOyifPAyaNOOGBD0/edit?gid=901536474#gid=901536474"",""3776!Z2"")"),0.0)</f>
        <v>0</v>
      </c>
      <c r="J25" s="33">
        <f>IFERROR(__xludf.DUMMYFUNCTION("IMPORTRANGE(""https://docs.google.com/spreadsheets/d/1b2lul54I9-5u3ezeokOV5YBImAWXrqMYLSuPw_3-hIw/edit?usp=drive_web&amp;ouid=100730119819154221963"",""3776!Z2"")"),0.0)</f>
        <v>0</v>
      </c>
      <c r="K25" s="193">
        <v>48.0</v>
      </c>
      <c r="L25" s="193">
        <f t="shared" si="1"/>
        <v>51</v>
      </c>
      <c r="M25" s="41">
        <f t="shared" si="2"/>
        <v>99</v>
      </c>
      <c r="N25" s="44" t="s">
        <v>118</v>
      </c>
      <c r="O25" s="108"/>
      <c r="P25" s="108">
        <v>20.0</v>
      </c>
      <c r="Q25" s="108">
        <v>20.0</v>
      </c>
      <c r="Z25" s="7"/>
    </row>
    <row r="26">
      <c r="A26" s="43" t="s">
        <v>29</v>
      </c>
      <c r="B26" s="110" t="s">
        <v>218</v>
      </c>
      <c r="C26" s="33">
        <f>IFERROR(__xludf.DUMMYFUNCTION("IMPORTRANGE(""https://docs.google.com/spreadsheets/d/1ca8cMhzyOckHdNiYinDsEvnGp85K2P0HF-MddinrGXM/edit?gid=901536474#gid=901536474"",""3777!Z2"")"),16.0)</f>
        <v>16</v>
      </c>
      <c r="D26" s="33">
        <f>IFERROR(__xludf.DUMMYFUNCTION("IMPORTRANGE(""https://docs.google.com/spreadsheets/d/1ZPIx2zimbu-1zeGuxfxkhXNgqhfTssUS5s9k5cZf2wc/edit?gid=901536474#gid=901536474"",""3777!Z2"")"),24.0)</f>
        <v>24</v>
      </c>
      <c r="E26" s="33">
        <f>IFERROR(__xludf.DUMMYFUNCTION("IMPORTRANGE(""https://docs.google.com/spreadsheets/d/1XMcMRG5YO-goaR1U_4jER5WefHmr96--8gyjWBUNI6k/edit?gid=901536474#gid=901536474"",""3777!Z2"")"),34.0)</f>
        <v>34</v>
      </c>
      <c r="F26" s="33">
        <f>IFERROR(__xludf.DUMMYFUNCTION("IMPORTRANGE(""https://docs.google.com/spreadsheets/d/1MA0wBASwppm9FIO036lHI8xvhSVH0v5HYfXfVjKbcyQ/edit?usp=drive_web&amp;ouid=100730119819154221963"",""3777!Z2"")"),0.0)</f>
        <v>0</v>
      </c>
      <c r="G26" s="33">
        <f>IFERROR(__xludf.DUMMYFUNCTION("IMPORTRANGE(""https://docs.google.com/spreadsheets/d/1D2vfyqvZrSRB3H2syxflheuiQYzNPTpGgOdgFd9uWlk/edit?gid=901536474#gid=901536474"",""3777!Z2"")"),8.0)</f>
        <v>8</v>
      </c>
      <c r="H26" s="33">
        <f>IFERROR(__xludf.DUMMYFUNCTION("IMPORTRANGE(""https://docs.google.com/spreadsheets/d/12IEdVEBjKQJvqAAWPA8r9wBGS_rRrYVNO7dHXE_rk60/edit?gid=901536474#gid=901536474"",""3777!Z2"")"),2.0)</f>
        <v>2</v>
      </c>
      <c r="I26" s="33">
        <f>IFERROR(__xludf.DUMMYFUNCTION("IMPORTRANGE(""https://docs.google.com/spreadsheets/d/1LB7ejmtgeP477BH1-F2FJlKUu_JQOyifPAyaNOOGBD0/edit?gid=901536474#gid=901536474"",""3777!Z2"")"),0.0)</f>
        <v>0</v>
      </c>
      <c r="J26" s="33">
        <f>IFERROR(__xludf.DUMMYFUNCTION("IMPORTRANGE(""https://docs.google.com/spreadsheets/d/1b2lul54I9-5u3ezeokOV5YBImAWXrqMYLSuPw_3-hIw/edit?usp=drive_web&amp;ouid=100730119819154221963"",""3777!Z2"")"),1.0)</f>
        <v>1</v>
      </c>
      <c r="K26" s="193">
        <v>27.0</v>
      </c>
      <c r="L26" s="193">
        <f t="shared" si="1"/>
        <v>58</v>
      </c>
      <c r="M26" s="41">
        <f t="shared" si="2"/>
        <v>85</v>
      </c>
      <c r="N26" s="104"/>
      <c r="O26" s="105"/>
      <c r="P26" s="104"/>
      <c r="Q26" s="104"/>
      <c r="Z26" s="7"/>
    </row>
    <row r="27">
      <c r="A27" s="43" t="s">
        <v>29</v>
      </c>
      <c r="B27" s="110" t="s">
        <v>220</v>
      </c>
      <c r="C27" s="33">
        <f>IFERROR(__xludf.DUMMYFUNCTION("IMPORTRANGE(""https://docs.google.com/spreadsheets/d/1ca8cMhzyOckHdNiYinDsEvnGp85K2P0HF-MddinrGXM/edit?gid=901536474#gid=901536474"",""3778!Z2"")"),8.0)</f>
        <v>8</v>
      </c>
      <c r="D27" s="33">
        <f>IFERROR(__xludf.DUMMYFUNCTION("IMPORTRANGE(""https://docs.google.com/spreadsheets/d/1ZPIx2zimbu-1zeGuxfxkhXNgqhfTssUS5s9k5cZf2wc/edit?gid=901536474#gid=901536474"",""3778!Z2"")"),40.0)</f>
        <v>40</v>
      </c>
      <c r="E27" s="33">
        <f>IFERROR(__xludf.DUMMYFUNCTION("IMPORTRANGE(""https://docs.google.com/spreadsheets/d/1XMcMRG5YO-goaR1U_4jER5WefHmr96--8gyjWBUNI6k/edit?gid=901536474#gid=901536474"",""3778!Z2"")"),12.0)</f>
        <v>12</v>
      </c>
      <c r="F27" s="33">
        <f>IFERROR(__xludf.DUMMYFUNCTION("IMPORTRANGE(""https://docs.google.com/spreadsheets/d/1MA0wBASwppm9FIO036lHI8xvhSVH0v5HYfXfVjKbcyQ/edit?usp=drive_web&amp;ouid=100730119819154221963"",""3778!Z2"")"),0.0)</f>
        <v>0</v>
      </c>
      <c r="G27" s="33">
        <f>IFERROR(__xludf.DUMMYFUNCTION("IMPORTRANGE(""https://docs.google.com/spreadsheets/d/1D2vfyqvZrSRB3H2syxflheuiQYzNPTpGgOdgFd9uWlk/edit?gid=901536474#gid=901536474"",""3778!Z2"")"),0.0)</f>
        <v>0</v>
      </c>
      <c r="H27" s="33">
        <f>IFERROR(__xludf.DUMMYFUNCTION("IMPORTRANGE(""https://docs.google.com/spreadsheets/d/12IEdVEBjKQJvqAAWPA8r9wBGS_rRrYVNO7dHXE_rk60/edit?gid=901536474#gid=901536474"",""3778!Z2"")"),0.0)</f>
        <v>0</v>
      </c>
      <c r="I27" s="33">
        <f>IFERROR(__xludf.DUMMYFUNCTION("IMPORTRANGE(""https://docs.google.com/spreadsheets/d/1LB7ejmtgeP477BH1-F2FJlKUu_JQOyifPAyaNOOGBD0/edit?gid=901536474#gid=901536474"",""3778!Z2"")"),0.0)</f>
        <v>0</v>
      </c>
      <c r="J27" s="33">
        <f>IFERROR(__xludf.DUMMYFUNCTION("IMPORTRANGE(""https://docs.google.com/spreadsheets/d/1b2lul54I9-5u3ezeokOV5YBImAWXrqMYLSuPw_3-hIw/edit?usp=drive_web&amp;ouid=100730119819154221963"",""3778!Z2"")"),0.0)</f>
        <v>0</v>
      </c>
      <c r="K27" s="193">
        <v>32.0</v>
      </c>
      <c r="L27" s="193">
        <f t="shared" si="1"/>
        <v>28</v>
      </c>
      <c r="M27" s="41">
        <f t="shared" si="2"/>
        <v>60</v>
      </c>
      <c r="N27" s="104"/>
      <c r="O27" s="105"/>
      <c r="P27" s="104"/>
      <c r="Q27" s="104"/>
      <c r="Z27" s="7"/>
    </row>
    <row r="28">
      <c r="A28" s="43" t="s">
        <v>29</v>
      </c>
      <c r="B28" s="110" t="s">
        <v>222</v>
      </c>
      <c r="C28" s="33">
        <f>IFERROR(__xludf.DUMMYFUNCTION("IMPORTRANGE(""https://docs.google.com/spreadsheets/d/1ca8cMhzyOckHdNiYinDsEvnGp85K2P0HF-MddinrGXM/edit?gid=901536474#gid=901536474"",""3779!Z2"")"),8.0)</f>
        <v>8</v>
      </c>
      <c r="D28" s="33">
        <f>IFERROR(__xludf.DUMMYFUNCTION("IMPORTRANGE(""https://docs.google.com/spreadsheets/d/1ZPIx2zimbu-1zeGuxfxkhXNgqhfTssUS5s9k5cZf2wc/edit?gid=901536474#gid=901536474"",""3779!Z2"")"),36.0)</f>
        <v>36</v>
      </c>
      <c r="E28" s="33">
        <f>IFERROR(__xludf.DUMMYFUNCTION("IMPORTRANGE(""https://docs.google.com/spreadsheets/d/1XMcMRG5YO-goaR1U_4jER5WefHmr96--8gyjWBUNI6k/edit?gid=901536474#gid=901536474"",""3779!Z2"")"),16.0)</f>
        <v>16</v>
      </c>
      <c r="F28" s="33">
        <f>IFERROR(__xludf.DUMMYFUNCTION("IMPORTRANGE(""https://docs.google.com/spreadsheets/d/1MA0wBASwppm9FIO036lHI8xvhSVH0v5HYfXfVjKbcyQ/edit?usp=drive_web&amp;ouid=100730119819154221963"",""3779!Z2"")"),0.0)</f>
        <v>0</v>
      </c>
      <c r="G28" s="33">
        <f>IFERROR(__xludf.DUMMYFUNCTION("IMPORTRANGE(""https://docs.google.com/spreadsheets/d/1D2vfyqvZrSRB3H2syxflheuiQYzNPTpGgOdgFd9uWlk/edit?gid=901536474#gid=901536474"",""3779!Z2"")"),4.0)</f>
        <v>4</v>
      </c>
      <c r="H28" s="33">
        <f>IFERROR(__xludf.DUMMYFUNCTION("IMPORTRANGE(""https://docs.google.com/spreadsheets/d/12IEdVEBjKQJvqAAWPA8r9wBGS_rRrYVNO7dHXE_rk60/edit?gid=901536474#gid=901536474"",""3779!Z2"")"),0.0)</f>
        <v>0</v>
      </c>
      <c r="I28" s="33">
        <f>IFERROR(__xludf.DUMMYFUNCTION("IMPORTRANGE(""https://docs.google.com/spreadsheets/d/1LB7ejmtgeP477BH1-F2FJlKUu_JQOyifPAyaNOOGBD0/edit?gid=901536474#gid=901536474"",""3779!Z2"")"),0.0)</f>
        <v>0</v>
      </c>
      <c r="J28" s="33">
        <f>IFERROR(__xludf.DUMMYFUNCTION("IMPORTRANGE(""https://docs.google.com/spreadsheets/d/1b2lul54I9-5u3ezeokOV5YBImAWXrqMYLSuPw_3-hIw/edit?usp=drive_web&amp;ouid=100730119819154221963"",""3779!Z2"")"),1.0)</f>
        <v>1</v>
      </c>
      <c r="K28" s="193">
        <v>25.0</v>
      </c>
      <c r="L28" s="193">
        <f t="shared" si="1"/>
        <v>40</v>
      </c>
      <c r="M28" s="41">
        <f t="shared" si="2"/>
        <v>65</v>
      </c>
      <c r="N28" s="104"/>
      <c r="O28" s="105"/>
      <c r="P28" s="104"/>
      <c r="Q28" s="104"/>
      <c r="Z28" s="7"/>
    </row>
    <row r="29">
      <c r="A29" s="43" t="s">
        <v>29</v>
      </c>
      <c r="B29" s="110" t="s">
        <v>224</v>
      </c>
      <c r="C29" s="33">
        <f>IFERROR(__xludf.DUMMYFUNCTION("IMPORTRANGE(""https://docs.google.com/spreadsheets/d/1ca8cMhzyOckHdNiYinDsEvnGp85K2P0HF-MddinrGXM/edit?gid=901536474#gid=901536474"",""3780!Z2"")"),0.0)</f>
        <v>0</v>
      </c>
      <c r="D29" s="33">
        <f>IFERROR(__xludf.DUMMYFUNCTION("IMPORTRANGE(""https://docs.google.com/spreadsheets/d/1ZPIx2zimbu-1zeGuxfxkhXNgqhfTssUS5s9k5cZf2wc/edit?gid=901536474#gid=901536474"",""3780!Z2"")"),24.0)</f>
        <v>24</v>
      </c>
      <c r="E29" s="33">
        <f>IFERROR(__xludf.DUMMYFUNCTION("IMPORTRANGE(""https://docs.google.com/spreadsheets/d/1XMcMRG5YO-goaR1U_4jER5WefHmr96--8gyjWBUNI6k/edit?gid=901536474#gid=901536474"",""3780!Z2"")"),73.0)</f>
        <v>73</v>
      </c>
      <c r="F29" s="33">
        <f>IFERROR(__xludf.DUMMYFUNCTION("IMPORTRANGE(""https://docs.google.com/spreadsheets/d/1MA0wBASwppm9FIO036lHI8xvhSVH0v5HYfXfVjKbcyQ/edit?usp=drive_web&amp;ouid=100730119819154221963"",""3780!Z2"")"),0.0)</f>
        <v>0</v>
      </c>
      <c r="G29" s="33">
        <f>IFERROR(__xludf.DUMMYFUNCTION("IMPORTRANGE(""https://docs.google.com/spreadsheets/d/1D2vfyqvZrSRB3H2syxflheuiQYzNPTpGgOdgFd9uWlk/edit?gid=901536474#gid=901536474"",""3780!Z2"")"),0.0)</f>
        <v>0</v>
      </c>
      <c r="H29" s="33">
        <f>IFERROR(__xludf.DUMMYFUNCTION("IMPORTRANGE(""https://docs.google.com/spreadsheets/d/12IEdVEBjKQJvqAAWPA8r9wBGS_rRrYVNO7dHXE_rk60/edit?gid=901536474#gid=901536474"",""3780!Z2"")"),0.0)</f>
        <v>0</v>
      </c>
      <c r="I29" s="33">
        <f>IFERROR(__xludf.DUMMYFUNCTION("IMPORTRANGE(""https://docs.google.com/spreadsheets/d/1LB7ejmtgeP477BH1-F2FJlKUu_JQOyifPAyaNOOGBD0/edit?gid=901536474#gid=901536474"",""3780!Z2"")"),0.0)</f>
        <v>0</v>
      </c>
      <c r="J29" s="33">
        <f>IFERROR(__xludf.DUMMYFUNCTION("IMPORTRANGE(""https://docs.google.com/spreadsheets/d/1b2lul54I9-5u3ezeokOV5YBImAWXrqMYLSuPw_3-hIw/edit?usp=drive_web&amp;ouid=100730119819154221963"",""3780!Z2"")"),0.0)</f>
        <v>0</v>
      </c>
      <c r="K29" s="193">
        <v>36.0</v>
      </c>
      <c r="L29" s="193">
        <f t="shared" si="1"/>
        <v>61</v>
      </c>
      <c r="M29" s="41">
        <f t="shared" si="2"/>
        <v>97</v>
      </c>
      <c r="N29" s="104"/>
      <c r="O29" s="105"/>
      <c r="P29" s="104"/>
      <c r="Q29" s="104"/>
      <c r="Z29" s="7"/>
    </row>
    <row r="30">
      <c r="A30" s="43" t="s">
        <v>29</v>
      </c>
      <c r="B30" s="110" t="s">
        <v>226</v>
      </c>
      <c r="C30" s="33">
        <f>IFERROR(__xludf.DUMMYFUNCTION("IMPORTRANGE(""https://docs.google.com/spreadsheets/d/1ca8cMhzyOckHdNiYinDsEvnGp85K2P0HF-MddinrGXM/edit?gid=901536474#gid=901536474"",""3781!Z2"")"),0.0)</f>
        <v>0</v>
      </c>
      <c r="D30" s="33">
        <f>IFERROR(__xludf.DUMMYFUNCTION("IMPORTRANGE(""https://docs.google.com/spreadsheets/d/1ZPIx2zimbu-1zeGuxfxkhXNgqhfTssUS5s9k5cZf2wc/edit?gid=901536474#gid=901536474"",""3781!Z2"")"),32.0)</f>
        <v>32</v>
      </c>
      <c r="E30" s="33">
        <f>IFERROR(__xludf.DUMMYFUNCTION("IMPORTRANGE(""https://docs.google.com/spreadsheets/d/1XMcMRG5YO-goaR1U_4jER5WefHmr96--8gyjWBUNI6k/edit?gid=901536474#gid=901536474"",""3781!Z2"")"),30.0)</f>
        <v>30</v>
      </c>
      <c r="F30" s="33">
        <f>IFERROR(__xludf.DUMMYFUNCTION("IMPORTRANGE(""https://docs.google.com/spreadsheets/d/1MA0wBASwppm9FIO036lHI8xvhSVH0v5HYfXfVjKbcyQ/edit?usp=drive_web&amp;ouid=100730119819154221963"",""3781!Z2"")"),0.0)</f>
        <v>0</v>
      </c>
      <c r="G30" s="33">
        <f>IFERROR(__xludf.DUMMYFUNCTION("IMPORTRANGE(""https://docs.google.com/spreadsheets/d/1D2vfyqvZrSRB3H2syxflheuiQYzNPTpGgOdgFd9uWlk/edit?gid=901536474#gid=901536474"",""3781!Z2"")"),0.0)</f>
        <v>0</v>
      </c>
      <c r="H30" s="33">
        <f>IFERROR(__xludf.DUMMYFUNCTION("IMPORTRANGE(""https://docs.google.com/spreadsheets/d/12IEdVEBjKQJvqAAWPA8r9wBGS_rRrYVNO7dHXE_rk60/edit?gid=901536474#gid=901536474"",""3781!Z2"")"),0.0)</f>
        <v>0</v>
      </c>
      <c r="I30" s="33">
        <f>IFERROR(__xludf.DUMMYFUNCTION("IMPORTRANGE(""https://docs.google.com/spreadsheets/d/1LB7ejmtgeP477BH1-F2FJlKUu_JQOyifPAyaNOOGBD0/edit?gid=901536474#gid=901536474"",""3781!Z2"")"),0.0)</f>
        <v>0</v>
      </c>
      <c r="J30" s="33">
        <f>IFERROR(__xludf.DUMMYFUNCTION("IMPORTRANGE(""https://docs.google.com/spreadsheets/d/1b2lul54I9-5u3ezeokOV5YBImAWXrqMYLSuPw_3-hIw/edit?usp=drive_web&amp;ouid=100730119819154221963"",""3781!Z2"")"),0.0)</f>
        <v>0</v>
      </c>
      <c r="K30" s="193">
        <v>32.0</v>
      </c>
      <c r="L30" s="193">
        <f t="shared" si="1"/>
        <v>30</v>
      </c>
      <c r="M30" s="41">
        <f t="shared" si="2"/>
        <v>62</v>
      </c>
      <c r="N30" s="104"/>
      <c r="O30" s="105"/>
      <c r="P30" s="104"/>
      <c r="Q30" s="104"/>
      <c r="Z30" s="7"/>
    </row>
    <row r="31">
      <c r="A31" s="43" t="s">
        <v>29</v>
      </c>
      <c r="B31" s="110" t="s">
        <v>228</v>
      </c>
      <c r="C31" s="33">
        <f>IFERROR(__xludf.DUMMYFUNCTION("IMPORTRANGE(""https://docs.google.com/spreadsheets/d/1ca8cMhzyOckHdNiYinDsEvnGp85K2P0HF-MddinrGXM/edit?gid=901536474#gid=901536474"",""3782!Z2"")"),8.0)</f>
        <v>8</v>
      </c>
      <c r="D31" s="33">
        <f>IFERROR(__xludf.DUMMYFUNCTION("IMPORTRANGE(""https://docs.google.com/spreadsheets/d/1ZPIx2zimbu-1zeGuxfxkhXNgqhfTssUS5s9k5cZf2wc/edit?gid=901536474#gid=901536474"",""3782!Z2"")"),32.0)</f>
        <v>32</v>
      </c>
      <c r="E31" s="33">
        <f>IFERROR(__xludf.DUMMYFUNCTION("IMPORTRANGE(""https://docs.google.com/spreadsheets/d/1XMcMRG5YO-goaR1U_4jER5WefHmr96--8gyjWBUNI6k/edit?gid=901536474#gid=901536474"",""3782!Z2"")"),27.0)</f>
        <v>27</v>
      </c>
      <c r="F31" s="33">
        <f>IFERROR(__xludf.DUMMYFUNCTION("IMPORTRANGE(""https://docs.google.com/spreadsheets/d/1MA0wBASwppm9FIO036lHI8xvhSVH0v5HYfXfVjKbcyQ/edit?usp=drive_web&amp;ouid=100730119819154221963"",""3782!Z2"")"),0.0)</f>
        <v>0</v>
      </c>
      <c r="G31" s="33">
        <f>IFERROR(__xludf.DUMMYFUNCTION("IMPORTRANGE(""https://docs.google.com/spreadsheets/d/1D2vfyqvZrSRB3H2syxflheuiQYzNPTpGgOdgFd9uWlk/edit?gid=901536474#gid=901536474"",""3782!Z2"")"),0.0)</f>
        <v>0</v>
      </c>
      <c r="H31" s="33">
        <f>IFERROR(__xludf.DUMMYFUNCTION("IMPORTRANGE(""https://docs.google.com/spreadsheets/d/12IEdVEBjKQJvqAAWPA8r9wBGS_rRrYVNO7dHXE_rk60/edit?gid=901536474#gid=901536474"",""3782!Z2"")"),0.0)</f>
        <v>0</v>
      </c>
      <c r="I31" s="33">
        <f>IFERROR(__xludf.DUMMYFUNCTION("IMPORTRANGE(""https://docs.google.com/spreadsheets/d/1LB7ejmtgeP477BH1-F2FJlKUu_JQOyifPAyaNOOGBD0/edit?gid=901536474#gid=901536474"",""3782!Z2"")"),0.0)</f>
        <v>0</v>
      </c>
      <c r="J31" s="33">
        <f>IFERROR(__xludf.DUMMYFUNCTION("IMPORTRANGE(""https://docs.google.com/spreadsheets/d/1b2lul54I9-5u3ezeokOV5YBImAWXrqMYLSuPw_3-hIw/edit?usp=drive_web&amp;ouid=100730119819154221963"",""3782!Z2"")"),0.0)</f>
        <v>0</v>
      </c>
      <c r="K31" s="193">
        <v>32.0</v>
      </c>
      <c r="L31" s="193">
        <f t="shared" si="1"/>
        <v>35</v>
      </c>
      <c r="M31" s="41">
        <f t="shared" si="2"/>
        <v>67</v>
      </c>
      <c r="N31" s="104"/>
      <c r="O31" s="105"/>
      <c r="P31" s="104"/>
      <c r="Q31" s="104"/>
      <c r="Z31" s="7"/>
    </row>
    <row r="32">
      <c r="A32" s="43" t="s">
        <v>29</v>
      </c>
      <c r="B32" s="110" t="s">
        <v>230</v>
      </c>
      <c r="C32" s="33">
        <f>IFERROR(__xludf.DUMMYFUNCTION("IMPORTRANGE(""https://docs.google.com/spreadsheets/d/1ca8cMhzyOckHdNiYinDsEvnGp85K2P0HF-MddinrGXM/edit?gid=901536474#gid=901536474"",""3783!Z2"")"),0.0)</f>
        <v>0</v>
      </c>
      <c r="D32" s="33">
        <f>IFERROR(__xludf.DUMMYFUNCTION("IMPORTRANGE(""https://docs.google.com/spreadsheets/d/1ZPIx2zimbu-1zeGuxfxkhXNgqhfTssUS5s9k5cZf2wc/edit?gid=901536474#gid=901536474"",""3783!Z2"")"),12.0)</f>
        <v>12</v>
      </c>
      <c r="E32" s="33">
        <f>IFERROR(__xludf.DUMMYFUNCTION("IMPORTRANGE(""https://docs.google.com/spreadsheets/d/1XMcMRG5YO-goaR1U_4jER5WefHmr96--8gyjWBUNI6k/edit?gid=901536474#gid=901536474"",""3783!Z2"")"),12.0)</f>
        <v>12</v>
      </c>
      <c r="F32" s="33">
        <f>IFERROR(__xludf.DUMMYFUNCTION("IMPORTRANGE(""https://docs.google.com/spreadsheets/d/1MA0wBASwppm9FIO036lHI8xvhSVH0v5HYfXfVjKbcyQ/edit?usp=drive_web&amp;ouid=100730119819154221963"",""3783!Z2"")"),0.0)</f>
        <v>0</v>
      </c>
      <c r="G32" s="33">
        <f>IFERROR(__xludf.DUMMYFUNCTION("IMPORTRANGE(""https://docs.google.com/spreadsheets/d/1D2vfyqvZrSRB3H2syxflheuiQYzNPTpGgOdgFd9uWlk/edit?gid=901536474#gid=901536474"",""3783!Z2"")"),10.0)</f>
        <v>10</v>
      </c>
      <c r="H32" s="33">
        <f>IFERROR(__xludf.DUMMYFUNCTION("IMPORTRANGE(""https://docs.google.com/spreadsheets/d/12IEdVEBjKQJvqAAWPA8r9wBGS_rRrYVNO7dHXE_rk60/edit?gid=901536474#gid=901536474"",""3783!Z2"")"),0.0)</f>
        <v>0</v>
      </c>
      <c r="I32" s="33">
        <f>IFERROR(__xludf.DUMMYFUNCTION("IMPORTRANGE(""https://docs.google.com/spreadsheets/d/1LB7ejmtgeP477BH1-F2FJlKUu_JQOyifPAyaNOOGBD0/edit?gid=901536474#gid=901536474"",""3783!Z2"")"),0.0)</f>
        <v>0</v>
      </c>
      <c r="J32" s="33">
        <f>IFERROR(__xludf.DUMMYFUNCTION("IMPORTRANGE(""https://docs.google.com/spreadsheets/d/1b2lul54I9-5u3ezeokOV5YBImAWXrqMYLSuPw_3-hIw/edit?usp=drive_web&amp;ouid=100730119819154221963"",""3783!Z2"")"),0.0)</f>
        <v>0</v>
      </c>
      <c r="K32" s="193">
        <v>33.0</v>
      </c>
      <c r="L32" s="193">
        <f t="shared" si="1"/>
        <v>41</v>
      </c>
      <c r="M32" s="41">
        <f t="shared" si="2"/>
        <v>74</v>
      </c>
      <c r="N32" s="44" t="s">
        <v>196</v>
      </c>
      <c r="O32" s="108"/>
      <c r="P32" s="108">
        <v>20.0</v>
      </c>
      <c r="Q32" s="108">
        <v>20.0</v>
      </c>
      <c r="Z32" s="7"/>
    </row>
    <row r="33">
      <c r="A33" s="43" t="s">
        <v>29</v>
      </c>
      <c r="B33" s="110" t="s">
        <v>232</v>
      </c>
      <c r="C33" s="33">
        <f>IFERROR(__xludf.DUMMYFUNCTION("IMPORTRANGE(""https://docs.google.com/spreadsheets/d/1ca8cMhzyOckHdNiYinDsEvnGp85K2P0HF-MddinrGXM/edit?gid=901536474#gid=901536474"",""3784!Z2"")"),0.0)</f>
        <v>0</v>
      </c>
      <c r="D33" s="33">
        <f>IFERROR(__xludf.DUMMYFUNCTION("IMPORTRANGE(""https://docs.google.com/spreadsheets/d/1ZPIx2zimbu-1zeGuxfxkhXNgqhfTssUS5s9k5cZf2wc/edit?gid=901536474#gid=901536474"",""3784!Z2"")"),32.0)</f>
        <v>32</v>
      </c>
      <c r="E33" s="33">
        <f>IFERROR(__xludf.DUMMYFUNCTION("IMPORTRANGE(""https://docs.google.com/spreadsheets/d/1XMcMRG5YO-goaR1U_4jER5WefHmr96--8gyjWBUNI6k/edit?gid=901536474#gid=901536474"",""3784!Z2"")"),21.0)</f>
        <v>21</v>
      </c>
      <c r="F33" s="33">
        <f>IFERROR(__xludf.DUMMYFUNCTION("IMPORTRANGE(""https://docs.google.com/spreadsheets/d/1MA0wBASwppm9FIO036lHI8xvhSVH0v5HYfXfVjKbcyQ/edit?usp=drive_web&amp;ouid=100730119819154221963"",""3784!Z2"")"),0.0)</f>
        <v>0</v>
      </c>
      <c r="G33" s="33">
        <f>IFERROR(__xludf.DUMMYFUNCTION("IMPORTRANGE(""https://docs.google.com/spreadsheets/d/1D2vfyqvZrSRB3H2syxflheuiQYzNPTpGgOdgFd9uWlk/edit?gid=901536474#gid=901536474"",""3784!Z2"")"),0.0)</f>
        <v>0</v>
      </c>
      <c r="H33" s="33">
        <f>IFERROR(__xludf.DUMMYFUNCTION("IMPORTRANGE(""https://docs.google.com/spreadsheets/d/12IEdVEBjKQJvqAAWPA8r9wBGS_rRrYVNO7dHXE_rk60/edit?gid=901536474#gid=901536474"",""3784!Z2"")"),0.0)</f>
        <v>0</v>
      </c>
      <c r="I33" s="33">
        <f>IFERROR(__xludf.DUMMYFUNCTION("IMPORTRANGE(""https://docs.google.com/spreadsheets/d/1LB7ejmtgeP477BH1-F2FJlKUu_JQOyifPAyaNOOGBD0/edit?gid=901536474#gid=901536474"",""3784!Z2"")"),0.0)</f>
        <v>0</v>
      </c>
      <c r="J33" s="33">
        <f>IFERROR(__xludf.DUMMYFUNCTION("IMPORTRANGE(""https://docs.google.com/spreadsheets/d/1b2lul54I9-5u3ezeokOV5YBImAWXrqMYLSuPw_3-hIw/edit?usp=drive_web&amp;ouid=100730119819154221963"",""3784!Z2"")"),0.0)</f>
        <v>0</v>
      </c>
      <c r="K33" s="193">
        <v>28.0</v>
      </c>
      <c r="L33" s="193">
        <f t="shared" si="1"/>
        <v>25</v>
      </c>
      <c r="M33" s="41">
        <f t="shared" si="2"/>
        <v>53</v>
      </c>
      <c r="N33" s="104"/>
      <c r="O33" s="105"/>
      <c r="P33" s="104"/>
      <c r="Q33" s="104"/>
      <c r="Z33" s="7"/>
    </row>
    <row r="34">
      <c r="A34" s="43" t="s">
        <v>29</v>
      </c>
      <c r="B34" s="110" t="s">
        <v>234</v>
      </c>
      <c r="C34" s="33">
        <f>IFERROR(__xludf.DUMMYFUNCTION("IMPORTRANGE(""https://docs.google.com/spreadsheets/d/1ca8cMhzyOckHdNiYinDsEvnGp85K2P0HF-MddinrGXM/edit?gid=901536474#gid=901536474"",""3785!Z2"")"),0.0)</f>
        <v>0</v>
      </c>
      <c r="D34" s="33">
        <f>IFERROR(__xludf.DUMMYFUNCTION("IMPORTRANGE(""https://docs.google.com/spreadsheets/d/1ZPIx2zimbu-1zeGuxfxkhXNgqhfTssUS5s9k5cZf2wc/edit?gid=901536474#gid=901536474"",""3785!Z2"")"),56.0)</f>
        <v>56</v>
      </c>
      <c r="E34" s="33">
        <f>IFERROR(__xludf.DUMMYFUNCTION("IMPORTRANGE(""https://docs.google.com/spreadsheets/d/1XMcMRG5YO-goaR1U_4jER5WefHmr96--8gyjWBUNI6k/edit?gid=901536474#gid=901536474"",""3785!Z2"")"),18.0)</f>
        <v>18</v>
      </c>
      <c r="F34" s="33">
        <f>IFERROR(__xludf.DUMMYFUNCTION("IMPORTRANGE(""https://docs.google.com/spreadsheets/d/1MA0wBASwppm9FIO036lHI8xvhSVH0v5HYfXfVjKbcyQ/edit?usp=drive_web&amp;ouid=100730119819154221963"",""3785!Z2"")"),0.0)</f>
        <v>0</v>
      </c>
      <c r="G34" s="33">
        <f>IFERROR(__xludf.DUMMYFUNCTION("IMPORTRANGE(""https://docs.google.com/spreadsheets/d/1D2vfyqvZrSRB3H2syxflheuiQYzNPTpGgOdgFd9uWlk/edit?gid=901536474#gid=901536474"",""3785!Z2"")"),0.0)</f>
        <v>0</v>
      </c>
      <c r="H34" s="33">
        <f>IFERROR(__xludf.DUMMYFUNCTION("IMPORTRANGE(""https://docs.google.com/spreadsheets/d/12IEdVEBjKQJvqAAWPA8r9wBGS_rRrYVNO7dHXE_rk60/edit?gid=901536474#gid=901536474"",""3785!Z2"")"),0.0)</f>
        <v>0</v>
      </c>
      <c r="I34" s="33">
        <f>IFERROR(__xludf.DUMMYFUNCTION("IMPORTRANGE(""https://docs.google.com/spreadsheets/d/1LB7ejmtgeP477BH1-F2FJlKUu_JQOyifPAyaNOOGBD0/edit?gid=901536474#gid=901536474"",""3785!Z2"")"),0.0)</f>
        <v>0</v>
      </c>
      <c r="J34" s="33">
        <f>IFERROR(__xludf.DUMMYFUNCTION("IMPORTRANGE(""https://docs.google.com/spreadsheets/d/1b2lul54I9-5u3ezeokOV5YBImAWXrqMYLSuPw_3-hIw/edit?usp=drive_web&amp;ouid=100730119819154221963"",""3785!Z2"")"),0.0)</f>
        <v>0</v>
      </c>
      <c r="K34" s="193">
        <v>60.0</v>
      </c>
      <c r="L34" s="193">
        <f t="shared" si="1"/>
        <v>54</v>
      </c>
      <c r="M34" s="41">
        <f t="shared" si="2"/>
        <v>114</v>
      </c>
      <c r="N34" s="112" t="s">
        <v>118</v>
      </c>
      <c r="O34" s="108"/>
      <c r="P34" s="108">
        <v>20.0</v>
      </c>
      <c r="Q34" s="108">
        <v>20.0</v>
      </c>
      <c r="Z34" s="7"/>
    </row>
    <row r="35">
      <c r="A35" s="43" t="s">
        <v>29</v>
      </c>
      <c r="B35" s="110" t="s">
        <v>236</v>
      </c>
      <c r="C35" s="33">
        <f>IFERROR(__xludf.DUMMYFUNCTION("IMPORTRANGE(""https://docs.google.com/spreadsheets/d/1ca8cMhzyOckHdNiYinDsEvnGp85K2P0HF-MddinrGXM/edit?gid=901536474#gid=901536474"",""3786!Z2"")"),0.0)</f>
        <v>0</v>
      </c>
      <c r="D35" s="33">
        <f>IFERROR(__xludf.DUMMYFUNCTION("IMPORTRANGE(""https://docs.google.com/spreadsheets/d/1ZPIx2zimbu-1zeGuxfxkhXNgqhfTssUS5s9k5cZf2wc/edit?gid=901536474#gid=901536474"",""3786!Z2"")"),48.0)</f>
        <v>48</v>
      </c>
      <c r="E35" s="33">
        <f>IFERROR(__xludf.DUMMYFUNCTION("IMPORTRANGE(""https://docs.google.com/spreadsheets/d/1XMcMRG5YO-goaR1U_4jER5WefHmr96--8gyjWBUNI6k/edit?gid=901536474#gid=901536474"",""3786!Z2"")"),26.0)</f>
        <v>26</v>
      </c>
      <c r="F35" s="33">
        <f>IFERROR(__xludf.DUMMYFUNCTION("IMPORTRANGE(""https://docs.google.com/spreadsheets/d/1MA0wBASwppm9FIO036lHI8xvhSVH0v5HYfXfVjKbcyQ/edit?usp=drive_web&amp;ouid=100730119819154221963"",""3786!Z2"")"),0.0)</f>
        <v>0</v>
      </c>
      <c r="G35" s="33">
        <f>IFERROR(__xludf.DUMMYFUNCTION("IMPORTRANGE(""https://docs.google.com/spreadsheets/d/1D2vfyqvZrSRB3H2syxflheuiQYzNPTpGgOdgFd9uWlk/edit?gid=901536474#gid=901536474"",""3786!Z2"")"),0.0)</f>
        <v>0</v>
      </c>
      <c r="H35" s="33">
        <f>IFERROR(__xludf.DUMMYFUNCTION("IMPORTRANGE(""https://docs.google.com/spreadsheets/d/12IEdVEBjKQJvqAAWPA8r9wBGS_rRrYVNO7dHXE_rk60/edit?gid=901536474#gid=901536474"",""3786!Z2"")"),0.0)</f>
        <v>0</v>
      </c>
      <c r="I35" s="33">
        <f>IFERROR(__xludf.DUMMYFUNCTION("IMPORTRANGE(""https://docs.google.com/spreadsheets/d/1LB7ejmtgeP477BH1-F2FJlKUu_JQOyifPAyaNOOGBD0/edit?gid=901536474#gid=901536474"",""3786!Z2"")"),0.0)</f>
        <v>0</v>
      </c>
      <c r="J35" s="33">
        <f>IFERROR(__xludf.DUMMYFUNCTION("IMPORTRANGE(""https://docs.google.com/spreadsheets/d/1b2lul54I9-5u3ezeokOV5YBImAWXrqMYLSuPw_3-hIw/edit?usp=drive_web&amp;ouid=100730119819154221963"",""3786!Z2"")"),1.0)</f>
        <v>1</v>
      </c>
      <c r="K35" s="193">
        <v>45.0</v>
      </c>
      <c r="L35" s="193">
        <f t="shared" si="1"/>
        <v>30</v>
      </c>
      <c r="M35" s="41">
        <f t="shared" si="2"/>
        <v>75</v>
      </c>
      <c r="N35" s="104"/>
      <c r="O35" s="105"/>
      <c r="P35" s="104"/>
      <c r="Q35" s="104"/>
      <c r="Z35" s="7"/>
    </row>
    <row r="36">
      <c r="A36" s="43" t="s">
        <v>29</v>
      </c>
      <c r="B36" s="110" t="s">
        <v>238</v>
      </c>
      <c r="C36" s="33">
        <f>IFERROR(__xludf.DUMMYFUNCTION("IMPORTRANGE(""https://docs.google.com/spreadsheets/d/1ca8cMhzyOckHdNiYinDsEvnGp85K2P0HF-MddinrGXM/edit?gid=901536474#gid=901536474"",""3787!Z2"")"),0.0)</f>
        <v>0</v>
      </c>
      <c r="D36" s="33">
        <f>IFERROR(__xludf.DUMMYFUNCTION("IMPORTRANGE(""https://docs.google.com/spreadsheets/d/1ZPIx2zimbu-1zeGuxfxkhXNgqhfTssUS5s9k5cZf2wc/edit?gid=901536474#gid=901536474"",""3787!Z2"")"),34.0)</f>
        <v>34</v>
      </c>
      <c r="E36" s="33">
        <f>IFERROR(__xludf.DUMMYFUNCTION("IMPORTRANGE(""https://docs.google.com/spreadsheets/d/1XMcMRG5YO-goaR1U_4jER5WefHmr96--8gyjWBUNI6k/edit?gid=901536474#gid=901536474"",""3787!Z2"")"),36.0)</f>
        <v>36</v>
      </c>
      <c r="F36" s="33">
        <f>IFERROR(__xludf.DUMMYFUNCTION("IMPORTRANGE(""https://docs.google.com/spreadsheets/d/1MA0wBASwppm9FIO036lHI8xvhSVH0v5HYfXfVjKbcyQ/edit?usp=drive_web&amp;ouid=100730119819154221963"",""3787!Z2"")"),0.0)</f>
        <v>0</v>
      </c>
      <c r="G36" s="33">
        <f>IFERROR(__xludf.DUMMYFUNCTION("IMPORTRANGE(""https://docs.google.com/spreadsheets/d/1D2vfyqvZrSRB3H2syxflheuiQYzNPTpGgOdgFd9uWlk/edit?gid=901536474#gid=901536474"",""3787!Z2"")"),4.0)</f>
        <v>4</v>
      </c>
      <c r="H36" s="33">
        <f>IFERROR(__xludf.DUMMYFUNCTION("IMPORTRANGE(""https://docs.google.com/spreadsheets/d/12IEdVEBjKQJvqAAWPA8r9wBGS_rRrYVNO7dHXE_rk60/edit?gid=901536474#gid=901536474"",""3787!Z2"")"),0.0)</f>
        <v>0</v>
      </c>
      <c r="I36" s="33">
        <f>IFERROR(__xludf.DUMMYFUNCTION("IMPORTRANGE(""https://docs.google.com/spreadsheets/d/1LB7ejmtgeP477BH1-F2FJlKUu_JQOyifPAyaNOOGBD0/edit?gid=901536474#gid=901536474"",""3787!Z2"")"),0.0)</f>
        <v>0</v>
      </c>
      <c r="J36" s="33">
        <f>IFERROR(__xludf.DUMMYFUNCTION("IMPORTRANGE(""https://docs.google.com/spreadsheets/d/1b2lul54I9-5u3ezeokOV5YBImAWXrqMYLSuPw_3-hIw/edit?usp=drive_web&amp;ouid=100730119819154221963"",""3787!Z2"")"),0.0)</f>
        <v>0</v>
      </c>
      <c r="K36" s="193">
        <v>62.0</v>
      </c>
      <c r="L36" s="193">
        <f t="shared" si="1"/>
        <v>52</v>
      </c>
      <c r="M36" s="41">
        <f t="shared" si="2"/>
        <v>114</v>
      </c>
      <c r="N36" s="44" t="s">
        <v>42</v>
      </c>
      <c r="O36" s="108"/>
      <c r="P36" s="108">
        <v>20.0</v>
      </c>
      <c r="Q36" s="108">
        <v>20.0</v>
      </c>
      <c r="Z36" s="7"/>
    </row>
    <row r="37">
      <c r="A37" s="43" t="s">
        <v>29</v>
      </c>
      <c r="B37" s="110" t="s">
        <v>240</v>
      </c>
      <c r="C37" s="33">
        <f>IFERROR(__xludf.DUMMYFUNCTION("IMPORTRANGE(""https://docs.google.com/spreadsheets/d/1ca8cMhzyOckHdNiYinDsEvnGp85K2P0HF-MddinrGXM/edit?gid=901536474#gid=901536474"",""3788!Z2"")"),0.0)</f>
        <v>0</v>
      </c>
      <c r="D37" s="33">
        <f>IFERROR(__xludf.DUMMYFUNCTION("IMPORTRANGE(""https://docs.google.com/spreadsheets/d/1ZPIx2zimbu-1zeGuxfxkhXNgqhfTssUS5s9k5cZf2wc/edit?gid=901536474#gid=901536474"",""3788!Z2"")"),16.0)</f>
        <v>16</v>
      </c>
      <c r="E37" s="33">
        <f>IFERROR(__xludf.DUMMYFUNCTION("IMPORTRANGE(""https://docs.google.com/spreadsheets/d/1XMcMRG5YO-goaR1U_4jER5WefHmr96--8gyjWBUNI6k/edit?gid=901536474#gid=901536474"",""3788!Z2"")"),105.0)</f>
        <v>105</v>
      </c>
      <c r="F37" s="33">
        <f>IFERROR(__xludf.DUMMYFUNCTION("IMPORTRANGE(""https://docs.google.com/spreadsheets/d/1MA0wBASwppm9FIO036lHI8xvhSVH0v5HYfXfVjKbcyQ/edit?usp=drive_web&amp;ouid=100730119819154221963"",""3788!Z2"")"),0.0)</f>
        <v>0</v>
      </c>
      <c r="G37" s="33">
        <f>IFERROR(__xludf.DUMMYFUNCTION("IMPORTRANGE(""https://docs.google.com/spreadsheets/d/1D2vfyqvZrSRB3H2syxflheuiQYzNPTpGgOdgFd9uWlk/edit?gid=901536474#gid=901536474"",""3788!Z2"")"),0.0)</f>
        <v>0</v>
      </c>
      <c r="H37" s="33">
        <f>IFERROR(__xludf.DUMMYFUNCTION("IMPORTRANGE(""https://docs.google.com/spreadsheets/d/12IEdVEBjKQJvqAAWPA8r9wBGS_rRrYVNO7dHXE_rk60/edit?gid=901536474#gid=901536474"",""3788!Z2"")"),0.0)</f>
        <v>0</v>
      </c>
      <c r="I37" s="33">
        <f>IFERROR(__xludf.DUMMYFUNCTION("IMPORTRANGE(""https://docs.google.com/spreadsheets/d/1LB7ejmtgeP477BH1-F2FJlKUu_JQOyifPAyaNOOGBD0/edit?gid=901536474#gid=901536474"",""3788!Z2"")"),0.0)</f>
        <v>0</v>
      </c>
      <c r="J37" s="33">
        <f>IFERROR(__xludf.DUMMYFUNCTION("IMPORTRANGE(""https://docs.google.com/spreadsheets/d/1b2lul54I9-5u3ezeokOV5YBImAWXrqMYLSuPw_3-hIw/edit?usp=drive_web&amp;ouid=100730119819154221963"",""3788!Z2"")"),0.0)</f>
        <v>0</v>
      </c>
      <c r="K37" s="193">
        <v>80.0</v>
      </c>
      <c r="L37" s="193">
        <f t="shared" si="1"/>
        <v>41</v>
      </c>
      <c r="M37" s="41">
        <f t="shared" si="2"/>
        <v>121</v>
      </c>
      <c r="N37" s="104"/>
      <c r="O37" s="105"/>
      <c r="P37" s="104"/>
      <c r="Q37" s="104"/>
      <c r="Z37" s="7"/>
    </row>
    <row r="38">
      <c r="A38" s="43" t="s">
        <v>29</v>
      </c>
      <c r="B38" s="110" t="s">
        <v>242</v>
      </c>
      <c r="C38" s="33">
        <f>IFERROR(__xludf.DUMMYFUNCTION("IMPORTRANGE(""https://docs.google.com/spreadsheets/d/1ca8cMhzyOckHdNiYinDsEvnGp85K2P0HF-MddinrGXM/edit?gid=901536474#gid=901536474"",""3789!Z2"")"),8.0)</f>
        <v>8</v>
      </c>
      <c r="D38" s="33">
        <f>IFERROR(__xludf.DUMMYFUNCTION("IMPORTRANGE(""https://docs.google.com/spreadsheets/d/1ZPIx2zimbu-1zeGuxfxkhXNgqhfTssUS5s9k5cZf2wc/edit?gid=901536474#gid=901536474"",""3789!Z2"")"),72.0)</f>
        <v>72</v>
      </c>
      <c r="E38" s="33">
        <f>IFERROR(__xludf.DUMMYFUNCTION("IMPORTRANGE(""https://docs.google.com/spreadsheets/d/1XMcMRG5YO-goaR1U_4jER5WefHmr96--8gyjWBUNI6k/edit?gid=901536474#gid=901536474"",""3789!Z2"")"),22.0)</f>
        <v>22</v>
      </c>
      <c r="F38" s="33">
        <f>IFERROR(__xludf.DUMMYFUNCTION("IMPORTRANGE(""https://docs.google.com/spreadsheets/d/1MA0wBASwppm9FIO036lHI8xvhSVH0v5HYfXfVjKbcyQ/edit?usp=drive_web&amp;ouid=100730119819154221963"",""3789!Z2"")"),0.0)</f>
        <v>0</v>
      </c>
      <c r="G38" s="33">
        <f>IFERROR(__xludf.DUMMYFUNCTION("IMPORTRANGE(""https://docs.google.com/spreadsheets/d/1D2vfyqvZrSRB3H2syxflheuiQYzNPTpGgOdgFd9uWlk/edit?gid=901536474#gid=901536474"",""3789!Z2"")"),0.0)</f>
        <v>0</v>
      </c>
      <c r="H38" s="33">
        <f>IFERROR(__xludf.DUMMYFUNCTION("IMPORTRANGE(""https://docs.google.com/spreadsheets/d/12IEdVEBjKQJvqAAWPA8r9wBGS_rRrYVNO7dHXE_rk60/edit?gid=901536474#gid=901536474"",""3789!Z2"")"),0.0)</f>
        <v>0</v>
      </c>
      <c r="I38" s="33">
        <f>IFERROR(__xludf.DUMMYFUNCTION("IMPORTRANGE(""https://docs.google.com/spreadsheets/d/1LB7ejmtgeP477BH1-F2FJlKUu_JQOyifPAyaNOOGBD0/edit?gid=901536474#gid=901536474"",""3789!Z2"")"),0.0)</f>
        <v>0</v>
      </c>
      <c r="J38" s="33">
        <f>IFERROR(__xludf.DUMMYFUNCTION("IMPORTRANGE(""https://docs.google.com/spreadsheets/d/1b2lul54I9-5u3ezeokOV5YBImAWXrqMYLSuPw_3-hIw/edit?usp=drive_web&amp;ouid=100730119819154221963"",""3789!Z2"")"),0.0)</f>
        <v>0</v>
      </c>
      <c r="K38" s="193">
        <v>56.0</v>
      </c>
      <c r="L38" s="193">
        <f t="shared" si="1"/>
        <v>46</v>
      </c>
      <c r="M38" s="41">
        <f t="shared" si="2"/>
        <v>102</v>
      </c>
      <c r="N38" s="104"/>
      <c r="O38" s="105"/>
      <c r="P38" s="104"/>
      <c r="Q38" s="104"/>
      <c r="Z38" s="7"/>
    </row>
    <row r="39">
      <c r="A39" s="43" t="s">
        <v>29</v>
      </c>
      <c r="B39" s="110" t="s">
        <v>244</v>
      </c>
      <c r="C39" s="33">
        <f>IFERROR(__xludf.DUMMYFUNCTION("IMPORTRANGE(""https://docs.google.com/spreadsheets/d/1ca8cMhzyOckHdNiYinDsEvnGp85K2P0HF-MddinrGXM/edit?gid=901536474#gid=901536474"",""3790!Z2"")"),0.0)</f>
        <v>0</v>
      </c>
      <c r="D39" s="33">
        <f>IFERROR(__xludf.DUMMYFUNCTION("IMPORTRANGE(""https://docs.google.com/spreadsheets/d/1ZPIx2zimbu-1zeGuxfxkhXNgqhfTssUS5s9k5cZf2wc/edit?gid=901536474#gid=901536474"",""3790!Z2"")"),56.0)</f>
        <v>56</v>
      </c>
      <c r="E39" s="33">
        <f>IFERROR(__xludf.DUMMYFUNCTION("IMPORTRANGE(""https://docs.google.com/spreadsheets/d/1XMcMRG5YO-goaR1U_4jER5WefHmr96--8gyjWBUNI6k/edit?gid=901536474#gid=901536474"",""3790!Z2"")"),25.0)</f>
        <v>25</v>
      </c>
      <c r="F39" s="33">
        <f>IFERROR(__xludf.DUMMYFUNCTION("IMPORTRANGE(""https://docs.google.com/spreadsheets/d/1MA0wBASwppm9FIO036lHI8xvhSVH0v5HYfXfVjKbcyQ/edit?usp=drive_web&amp;ouid=100730119819154221963"",""3790!Z2"")"),6.0)</f>
        <v>6</v>
      </c>
      <c r="G39" s="33">
        <f>IFERROR(__xludf.DUMMYFUNCTION("IMPORTRANGE(""https://docs.google.com/spreadsheets/d/1D2vfyqvZrSRB3H2syxflheuiQYzNPTpGgOdgFd9uWlk/edit?gid=901536474#gid=901536474"",""3790!Z2"")"),0.0)</f>
        <v>0</v>
      </c>
      <c r="H39" s="33">
        <f>IFERROR(__xludf.DUMMYFUNCTION("IMPORTRANGE(""https://docs.google.com/spreadsheets/d/12IEdVEBjKQJvqAAWPA8r9wBGS_rRrYVNO7dHXE_rk60/edit?gid=901536474#gid=901536474"",""3790!Z2"")"),0.0)</f>
        <v>0</v>
      </c>
      <c r="I39" s="33">
        <f>IFERROR(__xludf.DUMMYFUNCTION("IMPORTRANGE(""https://docs.google.com/spreadsheets/d/1LB7ejmtgeP477BH1-F2FJlKUu_JQOyifPAyaNOOGBD0/edit?gid=901536474#gid=901536474"",""3790!Z2"")"),0.0)</f>
        <v>0</v>
      </c>
      <c r="J39" s="33">
        <f>IFERROR(__xludf.DUMMYFUNCTION("IMPORTRANGE(""https://docs.google.com/spreadsheets/d/1b2lul54I9-5u3ezeokOV5YBImAWXrqMYLSuPw_3-hIw/edit?usp=drive_web&amp;ouid=100730119819154221963"",""3790!Z2"")"),0.0)</f>
        <v>0</v>
      </c>
      <c r="K39" s="193">
        <v>58.0</v>
      </c>
      <c r="L39" s="193">
        <f t="shared" si="1"/>
        <v>29</v>
      </c>
      <c r="M39" s="41">
        <f t="shared" si="2"/>
        <v>87</v>
      </c>
      <c r="N39" s="104"/>
      <c r="O39" s="105"/>
      <c r="P39" s="104"/>
      <c r="Q39" s="104"/>
      <c r="Z39" s="7"/>
    </row>
    <row r="40">
      <c r="A40" s="43" t="s">
        <v>29</v>
      </c>
      <c r="B40" s="110" t="s">
        <v>246</v>
      </c>
      <c r="C40" s="33">
        <f>IFERROR(__xludf.DUMMYFUNCTION("IMPORTRANGE(""https://docs.google.com/spreadsheets/d/1ca8cMhzyOckHdNiYinDsEvnGp85K2P0HF-MddinrGXM/edit?gid=901536474#gid=901536474"",""3791!Z2"")"),8.0)</f>
        <v>8</v>
      </c>
      <c r="D40" s="33">
        <f>IFERROR(__xludf.DUMMYFUNCTION("IMPORTRANGE(""https://docs.google.com/spreadsheets/d/1ZPIx2zimbu-1zeGuxfxkhXNgqhfTssUS5s9k5cZf2wc/edit?gid=901536474#gid=901536474"",""3791!Z2"")"),24.0)</f>
        <v>24</v>
      </c>
      <c r="E40" s="33">
        <f>IFERROR(__xludf.DUMMYFUNCTION("IMPORTRANGE(""https://docs.google.com/spreadsheets/d/1XMcMRG5YO-goaR1U_4jER5WefHmr96--8gyjWBUNI6k/edit?gid=901536474#gid=901536474"",""3791!Z2"")"),9.0)</f>
        <v>9</v>
      </c>
      <c r="F40" s="33">
        <f>IFERROR(__xludf.DUMMYFUNCTION("IMPORTRANGE(""https://docs.google.com/spreadsheets/d/1MA0wBASwppm9FIO036lHI8xvhSVH0v5HYfXfVjKbcyQ/edit?usp=drive_web&amp;ouid=100730119819154221963"",""3791!Z2"")"),0.0)</f>
        <v>0</v>
      </c>
      <c r="G40" s="33">
        <f>IFERROR(__xludf.DUMMYFUNCTION("IMPORTRANGE(""https://docs.google.com/spreadsheets/d/1D2vfyqvZrSRB3H2syxflheuiQYzNPTpGgOdgFd9uWlk/edit?gid=901536474#gid=901536474"",""3791!Z2"")"),0.0)</f>
        <v>0</v>
      </c>
      <c r="H40" s="33">
        <f>IFERROR(__xludf.DUMMYFUNCTION("IMPORTRANGE(""https://docs.google.com/spreadsheets/d/12IEdVEBjKQJvqAAWPA8r9wBGS_rRrYVNO7dHXE_rk60/edit?gid=901536474#gid=901536474"",""3791!Z2"")"),6.0)</f>
        <v>6</v>
      </c>
      <c r="I40" s="33">
        <f>IFERROR(__xludf.DUMMYFUNCTION("IMPORTRANGE(""https://docs.google.com/spreadsheets/d/1LB7ejmtgeP477BH1-F2FJlKUu_JQOyifPAyaNOOGBD0/edit?gid=901536474#gid=901536474"",""3791!Z2"")"),2.0)</f>
        <v>2</v>
      </c>
      <c r="J40" s="33">
        <f>IFERROR(__xludf.DUMMYFUNCTION("IMPORTRANGE(""https://docs.google.com/spreadsheets/d/1b2lul54I9-5u3ezeokOV5YBImAWXrqMYLSuPw_3-hIw/edit?usp=drive_web&amp;ouid=100730119819154221963"",""3791!Z2"")"),4.0)</f>
        <v>4</v>
      </c>
      <c r="K40" s="193">
        <v>28.0</v>
      </c>
      <c r="L40" s="193">
        <f t="shared" si="1"/>
        <v>25</v>
      </c>
      <c r="M40" s="41">
        <f t="shared" si="2"/>
        <v>53</v>
      </c>
      <c r="N40" s="104"/>
      <c r="O40" s="105"/>
      <c r="P40" s="104"/>
      <c r="Q40" s="104"/>
      <c r="Z40" s="7"/>
    </row>
    <row r="41">
      <c r="A41" s="43" t="s">
        <v>29</v>
      </c>
      <c r="B41" s="110" t="s">
        <v>248</v>
      </c>
      <c r="C41" s="33">
        <f>IFERROR(__xludf.DUMMYFUNCTION("IMPORTRANGE(""https://docs.google.com/spreadsheets/d/1ca8cMhzyOckHdNiYinDsEvnGp85K2P0HF-MddinrGXM/edit?gid=901536474#gid=901536474"",""3792!Z2"")"),8.0)</f>
        <v>8</v>
      </c>
      <c r="D41" s="33">
        <f>IFERROR(__xludf.DUMMYFUNCTION("IMPORTRANGE(""https://docs.google.com/spreadsheets/d/1ZPIx2zimbu-1zeGuxfxkhXNgqhfTssUS5s9k5cZf2wc/edit?gid=901536474#gid=901536474"",""3792!Z2"")"),20.0)</f>
        <v>20</v>
      </c>
      <c r="E41" s="33">
        <f>IFERROR(__xludf.DUMMYFUNCTION("IMPORTRANGE(""https://docs.google.com/spreadsheets/d/1XMcMRG5YO-goaR1U_4jER5WefHmr96--8gyjWBUNI6k/edit?gid=901536474#gid=901536474"",""3792!Z2"")"),34.0)</f>
        <v>34</v>
      </c>
      <c r="F41" s="33">
        <f>IFERROR(__xludf.DUMMYFUNCTION("IMPORTRANGE(""https://docs.google.com/spreadsheets/d/1MA0wBASwppm9FIO036lHI8xvhSVH0v5HYfXfVjKbcyQ/edit?usp=drive_web&amp;ouid=100730119819154221963"",""3792!Z2"")"),0.0)</f>
        <v>0</v>
      </c>
      <c r="G41" s="33">
        <f>IFERROR(__xludf.DUMMYFUNCTION("IMPORTRANGE(""https://docs.google.com/spreadsheets/d/1D2vfyqvZrSRB3H2syxflheuiQYzNPTpGgOdgFd9uWlk/edit?gid=901536474#gid=901536474"",""3792!Z2"")"),4.0)</f>
        <v>4</v>
      </c>
      <c r="H41" s="33">
        <f>IFERROR(__xludf.DUMMYFUNCTION("IMPORTRANGE(""https://docs.google.com/spreadsheets/d/12IEdVEBjKQJvqAAWPA8r9wBGS_rRrYVNO7dHXE_rk60/edit?gid=901536474#gid=901536474"",""3792!Z2"")"),0.0)</f>
        <v>0</v>
      </c>
      <c r="I41" s="33">
        <f>IFERROR(__xludf.DUMMYFUNCTION("IMPORTRANGE(""https://docs.google.com/spreadsheets/d/1LB7ejmtgeP477BH1-F2FJlKUu_JQOyifPAyaNOOGBD0/edit?gid=901536474#gid=901536474"",""3792!Z2"")"),0.0)</f>
        <v>0</v>
      </c>
      <c r="J41" s="33">
        <f>IFERROR(__xludf.DUMMYFUNCTION("IMPORTRANGE(""https://docs.google.com/spreadsheets/d/1b2lul54I9-5u3ezeokOV5YBImAWXrqMYLSuPw_3-hIw/edit?usp=drive_web&amp;ouid=100730119819154221963"",""3792!Z2"")"),0.0)</f>
        <v>0</v>
      </c>
      <c r="K41" s="193">
        <v>28.0</v>
      </c>
      <c r="L41" s="193">
        <f t="shared" si="1"/>
        <v>38</v>
      </c>
      <c r="M41" s="41">
        <f t="shared" si="2"/>
        <v>66</v>
      </c>
      <c r="N41" s="104"/>
      <c r="O41" s="105"/>
      <c r="P41" s="104"/>
      <c r="Q41" s="104"/>
      <c r="Z41" s="7"/>
    </row>
    <row r="42">
      <c r="A42" s="43" t="s">
        <v>29</v>
      </c>
      <c r="B42" s="110" t="s">
        <v>250</v>
      </c>
      <c r="C42" s="33">
        <f>IFERROR(__xludf.DUMMYFUNCTION("IMPORTRANGE(""https://docs.google.com/spreadsheets/d/1ca8cMhzyOckHdNiYinDsEvnGp85K2P0HF-MddinrGXM/edit?gid=901536474#gid=901536474"",""3793!Z2"")"),0.0)</f>
        <v>0</v>
      </c>
      <c r="D42" s="33">
        <f>IFERROR(__xludf.DUMMYFUNCTION("IMPORTRANGE(""https://docs.google.com/spreadsheets/d/1ZPIx2zimbu-1zeGuxfxkhXNgqhfTssUS5s9k5cZf2wc/edit?gid=901536474#gid=901536474"",""3793!Z2"")"),0.0)</f>
        <v>0</v>
      </c>
      <c r="E42" s="33">
        <f>IFERROR(__xludf.DUMMYFUNCTION("IMPORTRANGE(""https://docs.google.com/spreadsheets/d/1XMcMRG5YO-goaR1U_4jER5WefHmr96--8gyjWBUNI6k/edit?gid=901536474#gid=901536474"",""3793!Z2"")"),62.0)</f>
        <v>62</v>
      </c>
      <c r="F42" s="33">
        <f>IFERROR(__xludf.DUMMYFUNCTION("IMPORTRANGE(""https://docs.google.com/spreadsheets/d/1MA0wBASwppm9FIO036lHI8xvhSVH0v5HYfXfVjKbcyQ/edit?usp=drive_web&amp;ouid=100730119819154221963"",""3793!Z2"")"),0.0)</f>
        <v>0</v>
      </c>
      <c r="G42" s="33">
        <f>IFERROR(__xludf.DUMMYFUNCTION("IMPORTRANGE(""https://docs.google.com/spreadsheets/d/1D2vfyqvZrSRB3H2syxflheuiQYzNPTpGgOdgFd9uWlk/edit?gid=901536474#gid=901536474"",""3793!Z2"")"),0.0)</f>
        <v>0</v>
      </c>
      <c r="H42" s="33">
        <f>IFERROR(__xludf.DUMMYFUNCTION("IMPORTRANGE(""https://docs.google.com/spreadsheets/d/12IEdVEBjKQJvqAAWPA8r9wBGS_rRrYVNO7dHXE_rk60/edit?gid=901536474#gid=901536474"",""3793!Z2"")"),0.0)</f>
        <v>0</v>
      </c>
      <c r="I42" s="33">
        <f>IFERROR(__xludf.DUMMYFUNCTION("IMPORTRANGE(""https://docs.google.com/spreadsheets/d/1LB7ejmtgeP477BH1-F2FJlKUu_JQOyifPAyaNOOGBD0/edit?gid=901536474#gid=901536474"",""3793!Z2"")"),0.0)</f>
        <v>0</v>
      </c>
      <c r="J42" s="33">
        <f>IFERROR(__xludf.DUMMYFUNCTION("IMPORTRANGE(""https://docs.google.com/spreadsheets/d/1b2lul54I9-5u3ezeokOV5YBImAWXrqMYLSuPw_3-hIw/edit?usp=drive_web&amp;ouid=100730119819154221963"",""3793!Z2"")"),4.0)</f>
        <v>4</v>
      </c>
      <c r="K42" s="193">
        <v>34.0</v>
      </c>
      <c r="L42" s="193">
        <f t="shared" si="1"/>
        <v>32</v>
      </c>
      <c r="M42" s="41">
        <f t="shared" si="2"/>
        <v>66</v>
      </c>
      <c r="N42" s="104"/>
      <c r="O42" s="105"/>
      <c r="P42" s="104"/>
      <c r="Q42" s="104"/>
      <c r="Z42" s="7"/>
    </row>
    <row r="43">
      <c r="A43" s="43" t="s">
        <v>29</v>
      </c>
      <c r="B43" s="110" t="s">
        <v>252</v>
      </c>
      <c r="C43" s="33">
        <f>IFERROR(__xludf.DUMMYFUNCTION("IMPORTRANGE(""https://docs.google.com/spreadsheets/d/1ca8cMhzyOckHdNiYinDsEvnGp85K2P0HF-MddinrGXM/edit?gid=901536474#gid=901536474"",""3794!Z2"")"),8.0)</f>
        <v>8</v>
      </c>
      <c r="D43" s="33">
        <f>IFERROR(__xludf.DUMMYFUNCTION("IMPORTRANGE(""https://docs.google.com/spreadsheets/d/1ZPIx2zimbu-1zeGuxfxkhXNgqhfTssUS5s9k5cZf2wc/edit?gid=901536474#gid=901536474"",""3794!Z2"")"),36.0)</f>
        <v>36</v>
      </c>
      <c r="E43" s="33">
        <f>IFERROR(__xludf.DUMMYFUNCTION("IMPORTRANGE(""https://docs.google.com/spreadsheets/d/1XMcMRG5YO-goaR1U_4jER5WefHmr96--8gyjWBUNI6k/edit?gid=901536474#gid=901536474"",""3794!Z2"")"),3.0)</f>
        <v>3</v>
      </c>
      <c r="F43" s="33">
        <f>IFERROR(__xludf.DUMMYFUNCTION("IMPORTRANGE(""https://docs.google.com/spreadsheets/d/1MA0wBASwppm9FIO036lHI8xvhSVH0v5HYfXfVjKbcyQ/edit?usp=drive_web&amp;ouid=100730119819154221963"",""3794!Z2"")"),0.0)</f>
        <v>0</v>
      </c>
      <c r="G43" s="33">
        <f>IFERROR(__xludf.DUMMYFUNCTION("IMPORTRANGE(""https://docs.google.com/spreadsheets/d/1D2vfyqvZrSRB3H2syxflheuiQYzNPTpGgOdgFd9uWlk/edit?gid=901536474#gid=901536474"",""3794!Z2"")"),0.0)</f>
        <v>0</v>
      </c>
      <c r="H43" s="33">
        <f>IFERROR(__xludf.DUMMYFUNCTION("IMPORTRANGE(""https://docs.google.com/spreadsheets/d/12IEdVEBjKQJvqAAWPA8r9wBGS_rRrYVNO7dHXE_rk60/edit?gid=901536474#gid=901536474"",""3794!Z2"")"),0.0)</f>
        <v>0</v>
      </c>
      <c r="I43" s="33">
        <f>IFERROR(__xludf.DUMMYFUNCTION("IMPORTRANGE(""https://docs.google.com/spreadsheets/d/1LB7ejmtgeP477BH1-F2FJlKUu_JQOyifPAyaNOOGBD0/edit?gid=901536474#gid=901536474"",""3794!Z2"")"),0.0)</f>
        <v>0</v>
      </c>
      <c r="J43" s="33">
        <f>IFERROR(__xludf.DUMMYFUNCTION("IMPORTRANGE(""https://docs.google.com/spreadsheets/d/1b2lul54I9-5u3ezeokOV5YBImAWXrqMYLSuPw_3-hIw/edit?usp=drive_web&amp;ouid=100730119819154221963"",""3794!Z2"")"),0.0)</f>
        <v>0</v>
      </c>
      <c r="K43" s="193">
        <v>56.0</v>
      </c>
      <c r="L43" s="193">
        <f t="shared" si="1"/>
        <v>31</v>
      </c>
      <c r="M43" s="41">
        <f t="shared" si="2"/>
        <v>87</v>
      </c>
      <c r="N43" s="44" t="s">
        <v>118</v>
      </c>
      <c r="O43" s="108"/>
      <c r="P43" s="108">
        <v>20.0</v>
      </c>
      <c r="Q43" s="108">
        <v>20.0</v>
      </c>
      <c r="Z43" s="7"/>
    </row>
    <row r="44">
      <c r="A44" s="43" t="s">
        <v>29</v>
      </c>
      <c r="B44" s="110" t="s">
        <v>254</v>
      </c>
      <c r="C44" s="33">
        <f>IFERROR(__xludf.DUMMYFUNCTION("IMPORTRANGE(""https://docs.google.com/spreadsheets/d/1ca8cMhzyOckHdNiYinDsEvnGp85K2P0HF-MddinrGXM/edit?gid=901536474#gid=901536474"",""3795!Z2"")"),8.0)</f>
        <v>8</v>
      </c>
      <c r="D44" s="33">
        <f>IFERROR(__xludf.DUMMYFUNCTION("IMPORTRANGE(""https://docs.google.com/spreadsheets/d/1ZPIx2zimbu-1zeGuxfxkhXNgqhfTssUS5s9k5cZf2wc/edit?gid=901536474#gid=901536474"",""3795!Z2"")"),36.0)</f>
        <v>36</v>
      </c>
      <c r="E44" s="33">
        <f>IFERROR(__xludf.DUMMYFUNCTION("IMPORTRANGE(""https://docs.google.com/spreadsheets/d/1XMcMRG5YO-goaR1U_4jER5WefHmr96--8gyjWBUNI6k/edit?gid=901536474#gid=901536474"",""3795!Z2"")"),15.0)</f>
        <v>15</v>
      </c>
      <c r="F44" s="33">
        <f>IFERROR(__xludf.DUMMYFUNCTION("IMPORTRANGE(""https://docs.google.com/spreadsheets/d/1MA0wBASwppm9FIO036lHI8xvhSVH0v5HYfXfVjKbcyQ/edit?usp=drive_web&amp;ouid=100730119819154221963"",""3795!Z2"")"),0.0)</f>
        <v>0</v>
      </c>
      <c r="G44" s="33">
        <f>IFERROR(__xludf.DUMMYFUNCTION("IMPORTRANGE(""https://docs.google.com/spreadsheets/d/1D2vfyqvZrSRB3H2syxflheuiQYzNPTpGgOdgFd9uWlk/edit?gid=901536474#gid=901536474"",""3795!Z2"")"),0.0)</f>
        <v>0</v>
      </c>
      <c r="H44" s="33">
        <f>IFERROR(__xludf.DUMMYFUNCTION("IMPORTRANGE(""https://docs.google.com/spreadsheets/d/12IEdVEBjKQJvqAAWPA8r9wBGS_rRrYVNO7dHXE_rk60/edit?gid=901536474#gid=901536474"",""3795!Z2"")"),2.0)</f>
        <v>2</v>
      </c>
      <c r="I44" s="33">
        <f>IFERROR(__xludf.DUMMYFUNCTION("IMPORTRANGE(""https://docs.google.com/spreadsheets/d/1LB7ejmtgeP477BH1-F2FJlKUu_JQOyifPAyaNOOGBD0/edit?gid=901536474#gid=901536474"",""3795!Z2"")"),2.0)</f>
        <v>2</v>
      </c>
      <c r="J44" s="33">
        <f>IFERROR(__xludf.DUMMYFUNCTION("IMPORTRANGE(""https://docs.google.com/spreadsheets/d/1b2lul54I9-5u3ezeokOV5YBImAWXrqMYLSuPw_3-hIw/edit?usp=drive_web&amp;ouid=100730119819154221963"",""3795!Z2"")"),1.0)</f>
        <v>1</v>
      </c>
      <c r="K44" s="193">
        <v>34.0</v>
      </c>
      <c r="L44" s="193">
        <f t="shared" si="1"/>
        <v>30</v>
      </c>
      <c r="M44" s="41">
        <f t="shared" si="2"/>
        <v>64</v>
      </c>
      <c r="N44" s="104"/>
      <c r="O44" s="105"/>
      <c r="P44" s="104"/>
      <c r="Q44" s="104"/>
      <c r="Z44" s="7"/>
    </row>
    <row r="45">
      <c r="A45" s="43" t="s">
        <v>29</v>
      </c>
      <c r="B45" s="110" t="s">
        <v>256</v>
      </c>
      <c r="C45" s="33">
        <f>IFERROR(__xludf.DUMMYFUNCTION("IMPORTRANGE(""https://docs.google.com/spreadsheets/d/1ca8cMhzyOckHdNiYinDsEvnGp85K2P0HF-MddinrGXM/edit?gid=901536474#gid=901536474"",""3796!Z2"")"),24.0)</f>
        <v>24</v>
      </c>
      <c r="D45" s="33">
        <f>IFERROR(__xludf.DUMMYFUNCTION("IMPORTRANGE(""https://docs.google.com/spreadsheets/d/1ZPIx2zimbu-1zeGuxfxkhXNgqhfTssUS5s9k5cZf2wc/edit?gid=901536474#gid=901536474"",""3796!Z2"")"),4.0)</f>
        <v>4</v>
      </c>
      <c r="E45" s="33">
        <f>IFERROR(__xludf.DUMMYFUNCTION("IMPORTRANGE(""https://docs.google.com/spreadsheets/d/1XMcMRG5YO-goaR1U_4jER5WefHmr96--8gyjWBUNI6k/edit?gid=901536474#gid=901536474"",""3796!Z2"")"),7.0)</f>
        <v>7</v>
      </c>
      <c r="F45" s="33">
        <f>IFERROR(__xludf.DUMMYFUNCTION("IMPORTRANGE(""https://docs.google.com/spreadsheets/d/1MA0wBASwppm9FIO036lHI8xvhSVH0v5HYfXfVjKbcyQ/edit?usp=drive_web&amp;ouid=100730119819154221963"",""3796!Z2"")"),0.0)</f>
        <v>0</v>
      </c>
      <c r="G45" s="33">
        <f>IFERROR(__xludf.DUMMYFUNCTION("IMPORTRANGE(""https://docs.google.com/spreadsheets/d/1D2vfyqvZrSRB3H2syxflheuiQYzNPTpGgOdgFd9uWlk/edit?gid=901536474#gid=901536474"",""3796!Z2"")"),4.0)</f>
        <v>4</v>
      </c>
      <c r="H45" s="33">
        <f>IFERROR(__xludf.DUMMYFUNCTION("IMPORTRANGE(""https://docs.google.com/spreadsheets/d/12IEdVEBjKQJvqAAWPA8r9wBGS_rRrYVNO7dHXE_rk60/edit?gid=901536474#gid=901536474"",""3796!Z2"")"),6.0)</f>
        <v>6</v>
      </c>
      <c r="I45" s="33">
        <f>IFERROR(__xludf.DUMMYFUNCTION("IMPORTRANGE(""https://docs.google.com/spreadsheets/d/1LB7ejmtgeP477BH1-F2FJlKUu_JQOyifPAyaNOOGBD0/edit?gid=901536474#gid=901536474"",""3796!Z2"")"),3.0)</f>
        <v>3</v>
      </c>
      <c r="J45" s="33">
        <f>IFERROR(__xludf.DUMMYFUNCTION("IMPORTRANGE(""https://docs.google.com/spreadsheets/d/1b2lul54I9-5u3ezeokOV5YBImAWXrqMYLSuPw_3-hIw/edit?usp=drive_web&amp;ouid=100730119819154221963"",""3796!Z2"")"),2.0)</f>
        <v>2</v>
      </c>
      <c r="K45" s="193">
        <v>25.0</v>
      </c>
      <c r="L45" s="193">
        <f t="shared" si="1"/>
        <v>25</v>
      </c>
      <c r="M45" s="41">
        <f t="shared" si="2"/>
        <v>50</v>
      </c>
      <c r="N45" s="104"/>
      <c r="O45" s="105"/>
      <c r="P45" s="104"/>
      <c r="Q45" s="104"/>
      <c r="Z45" s="7"/>
    </row>
    <row r="46">
      <c r="A46" s="43" t="s">
        <v>29</v>
      </c>
      <c r="B46" s="110" t="s">
        <v>258</v>
      </c>
      <c r="C46" s="33">
        <f>IFERROR(__xludf.DUMMYFUNCTION("IMPORTRANGE(""https://docs.google.com/spreadsheets/d/1ca8cMhzyOckHdNiYinDsEvnGp85K2P0HF-MddinrGXM/edit?gid=901536474#gid=901536474"",""3797!Z2"")"),8.0)</f>
        <v>8</v>
      </c>
      <c r="D46" s="33">
        <f>IFERROR(__xludf.DUMMYFUNCTION("IMPORTRANGE(""https://docs.google.com/spreadsheets/d/1ZPIx2zimbu-1zeGuxfxkhXNgqhfTssUS5s9k5cZf2wc/edit?gid=901536474#gid=901536474"",""3797!Z2"")"),32.0)</f>
        <v>32</v>
      </c>
      <c r="E46" s="33">
        <f>IFERROR(__xludf.DUMMYFUNCTION("IMPORTRANGE(""https://docs.google.com/spreadsheets/d/1XMcMRG5YO-goaR1U_4jER5WefHmr96--8gyjWBUNI6k/edit?gid=901536474#gid=901536474"",""3797!Z2"")"),0.0)</f>
        <v>0</v>
      </c>
      <c r="F46" s="33">
        <f>IFERROR(__xludf.DUMMYFUNCTION("IMPORTRANGE(""https://docs.google.com/spreadsheets/d/1MA0wBASwppm9FIO036lHI8xvhSVH0v5HYfXfVjKbcyQ/edit?usp=drive_web&amp;ouid=100730119819154221963"",""3797!Z2"")"),0.0)</f>
        <v>0</v>
      </c>
      <c r="G46" s="33">
        <f>IFERROR(__xludf.DUMMYFUNCTION("IMPORTRANGE(""https://docs.google.com/spreadsheets/d/1D2vfyqvZrSRB3H2syxflheuiQYzNPTpGgOdgFd9uWlk/edit?gid=901536474#gid=901536474"",""3797!Z2"")"),0.0)</f>
        <v>0</v>
      </c>
      <c r="H46" s="33">
        <f>IFERROR(__xludf.DUMMYFUNCTION("IMPORTRANGE(""https://docs.google.com/spreadsheets/d/12IEdVEBjKQJvqAAWPA8r9wBGS_rRrYVNO7dHXE_rk60/edit?gid=901536474#gid=901536474"",""3797!Z2"")"),6.0)</f>
        <v>6</v>
      </c>
      <c r="I46" s="33">
        <f>IFERROR(__xludf.DUMMYFUNCTION("IMPORTRANGE(""https://docs.google.com/spreadsheets/d/1LB7ejmtgeP477BH1-F2FJlKUu_JQOyifPAyaNOOGBD0/edit?gid=901536474#gid=901536474"",""3797!Z2"")"),2.0)</f>
        <v>2</v>
      </c>
      <c r="J46" s="33">
        <f>IFERROR(__xludf.DUMMYFUNCTION("IMPORTRANGE(""https://docs.google.com/spreadsheets/d/1b2lul54I9-5u3ezeokOV5YBImAWXrqMYLSuPw_3-hIw/edit?usp=drive_web&amp;ouid=100730119819154221963"",""3797!Z2"")"),0.0)</f>
        <v>0</v>
      </c>
      <c r="K46" s="193">
        <v>22.0</v>
      </c>
      <c r="L46" s="193">
        <f t="shared" si="1"/>
        <v>26</v>
      </c>
      <c r="M46" s="41">
        <f t="shared" si="2"/>
        <v>48</v>
      </c>
      <c r="N46" s="104"/>
      <c r="O46" s="105"/>
      <c r="P46" s="104"/>
      <c r="Q46" s="104"/>
      <c r="Z46" s="7"/>
    </row>
    <row r="47">
      <c r="A47" s="43" t="s">
        <v>29</v>
      </c>
      <c r="B47" s="110" t="s">
        <v>260</v>
      </c>
      <c r="C47" s="33">
        <f>IFERROR(__xludf.DUMMYFUNCTION("IMPORTRANGE(""https://docs.google.com/spreadsheets/d/1ca8cMhzyOckHdNiYinDsEvnGp85K2P0HF-MddinrGXM/edit?gid=901536474#gid=901536474"",""3798!Z2"")"),24.0)</f>
        <v>24</v>
      </c>
      <c r="D47" s="33">
        <f>IFERROR(__xludf.DUMMYFUNCTION("IMPORTRANGE(""https://docs.google.com/spreadsheets/d/1ZPIx2zimbu-1zeGuxfxkhXNgqhfTssUS5s9k5cZf2wc/edit?gid=901536474#gid=901536474"",""3798!Z2"")"),34.0)</f>
        <v>34</v>
      </c>
      <c r="E47" s="33">
        <f>IFERROR(__xludf.DUMMYFUNCTION("IMPORTRANGE(""https://docs.google.com/spreadsheets/d/1XMcMRG5YO-goaR1U_4jER5WefHmr96--8gyjWBUNI6k/edit?gid=901536474#gid=901536474"",""3798!Z2"")"),0.0)</f>
        <v>0</v>
      </c>
      <c r="F47" s="33">
        <f>IFERROR(__xludf.DUMMYFUNCTION("IMPORTRANGE(""https://docs.google.com/spreadsheets/d/1MA0wBASwppm9FIO036lHI8xvhSVH0v5HYfXfVjKbcyQ/edit?usp=drive_web&amp;ouid=100730119819154221963"",""3798!Z2"")"),0.0)</f>
        <v>0</v>
      </c>
      <c r="G47" s="33">
        <f>IFERROR(__xludf.DUMMYFUNCTION("IMPORTRANGE(""https://docs.google.com/spreadsheets/d/1D2vfyqvZrSRB3H2syxflheuiQYzNPTpGgOdgFd9uWlk/edit?gid=901536474#gid=901536474"",""3798!Z2"")"),0.0)</f>
        <v>0</v>
      </c>
      <c r="H47" s="33">
        <f>IFERROR(__xludf.DUMMYFUNCTION("IMPORTRANGE(""https://docs.google.com/spreadsheets/d/12IEdVEBjKQJvqAAWPA8r9wBGS_rRrYVNO7dHXE_rk60/edit?gid=901536474#gid=901536474"",""3798!Z2"")"),1.0)</f>
        <v>1</v>
      </c>
      <c r="I47" s="33">
        <f>IFERROR(__xludf.DUMMYFUNCTION("IMPORTRANGE(""https://docs.google.com/spreadsheets/d/1LB7ejmtgeP477BH1-F2FJlKUu_JQOyifPAyaNOOGBD0/edit?gid=901536474#gid=901536474"",""3798!Z2"")"),0.0)</f>
        <v>0</v>
      </c>
      <c r="J47" s="33">
        <f>IFERROR(__xludf.DUMMYFUNCTION("IMPORTRANGE(""https://docs.google.com/spreadsheets/d/1b2lul54I9-5u3ezeokOV5YBImAWXrqMYLSuPw_3-hIw/edit?usp=drive_web&amp;ouid=100730119819154221963"",""3798!Z2"")"),0.0)</f>
        <v>0</v>
      </c>
      <c r="K47" s="193">
        <v>28.0</v>
      </c>
      <c r="L47" s="193">
        <f t="shared" si="1"/>
        <v>31</v>
      </c>
      <c r="M47" s="41">
        <f t="shared" si="2"/>
        <v>59</v>
      </c>
      <c r="N47" s="104"/>
      <c r="O47" s="105"/>
      <c r="P47" s="104"/>
      <c r="Q47" s="104"/>
      <c r="Z47" s="7"/>
    </row>
    <row r="48">
      <c r="A48" s="43" t="s">
        <v>29</v>
      </c>
      <c r="B48" s="110" t="s">
        <v>262</v>
      </c>
      <c r="C48" s="33">
        <f>IFERROR(__xludf.DUMMYFUNCTION("IMPORTRANGE(""https://docs.google.com/spreadsheets/d/1ca8cMhzyOckHdNiYinDsEvnGp85K2P0HF-MddinrGXM/edit?gid=901536474#gid=901536474"",""3799!Z2"")"),16.0)</f>
        <v>16</v>
      </c>
      <c r="D48" s="33">
        <f>IFERROR(__xludf.DUMMYFUNCTION("IMPORTRANGE(""https://docs.google.com/spreadsheets/d/1ZPIx2zimbu-1zeGuxfxkhXNgqhfTssUS5s9k5cZf2wc/edit?gid=901536474#gid=901536474"",""3799!Z2"")"),35.0)</f>
        <v>35</v>
      </c>
      <c r="E48" s="33">
        <f>IFERROR(__xludf.DUMMYFUNCTION("IMPORTRANGE(""https://docs.google.com/spreadsheets/d/1XMcMRG5YO-goaR1U_4jER5WefHmr96--8gyjWBUNI6k/edit?gid=901536474#gid=901536474"",""3799!Z2"")"),5.0)</f>
        <v>5</v>
      </c>
      <c r="F48" s="33">
        <f>IFERROR(__xludf.DUMMYFUNCTION("IMPORTRANGE(""https://docs.google.com/spreadsheets/d/1MA0wBASwppm9FIO036lHI8xvhSVH0v5HYfXfVjKbcyQ/edit?usp=drive_web&amp;ouid=100730119819154221963"",""3799!Z2"")"),0.0)</f>
        <v>0</v>
      </c>
      <c r="G48" s="33">
        <f>IFERROR(__xludf.DUMMYFUNCTION("IMPORTRANGE(""https://docs.google.com/spreadsheets/d/1D2vfyqvZrSRB3H2syxflheuiQYzNPTpGgOdgFd9uWlk/edit?gid=901536474#gid=901536474"",""3799!Z2"")"),0.0)</f>
        <v>0</v>
      </c>
      <c r="H48" s="33">
        <f>IFERROR(__xludf.DUMMYFUNCTION("IMPORTRANGE(""https://docs.google.com/spreadsheets/d/12IEdVEBjKQJvqAAWPA8r9wBGS_rRrYVNO7dHXE_rk60/edit?gid=901536474#gid=901536474"",""3799!Z2"")"),1.0)</f>
        <v>1</v>
      </c>
      <c r="I48" s="33">
        <f>IFERROR(__xludf.DUMMYFUNCTION("IMPORTRANGE(""https://docs.google.com/spreadsheets/d/1LB7ejmtgeP477BH1-F2FJlKUu_JQOyifPAyaNOOGBD0/edit?gid=901536474#gid=901536474"",""3799!Z2"")"),0.0)</f>
        <v>0</v>
      </c>
      <c r="J48" s="33">
        <f>IFERROR(__xludf.DUMMYFUNCTION("IMPORTRANGE(""https://docs.google.com/spreadsheets/d/1b2lul54I9-5u3ezeokOV5YBImAWXrqMYLSuPw_3-hIw/edit?usp=drive_web&amp;ouid=100730119819154221963"",""3799!Z2"")"),0.0)</f>
        <v>0</v>
      </c>
      <c r="K48" s="193">
        <v>32.0</v>
      </c>
      <c r="L48" s="193">
        <f t="shared" si="1"/>
        <v>25</v>
      </c>
      <c r="M48" s="41">
        <f t="shared" si="2"/>
        <v>57</v>
      </c>
      <c r="N48" s="104"/>
      <c r="O48" s="105"/>
      <c r="P48" s="104"/>
      <c r="Q48" s="104"/>
      <c r="Z48" s="7"/>
    </row>
    <row r="49">
      <c r="A49" s="43" t="s">
        <v>29</v>
      </c>
      <c r="B49" s="110" t="s">
        <v>264</v>
      </c>
      <c r="C49" s="33">
        <f>IFERROR(__xludf.DUMMYFUNCTION("IMPORTRANGE(""https://docs.google.com/spreadsheets/d/1ca8cMhzyOckHdNiYinDsEvnGp85K2P0HF-MddinrGXM/edit?gid=901536474#gid=901536474"",""3800!Z2"")"),24.0)</f>
        <v>24</v>
      </c>
      <c r="D49" s="33">
        <f>IFERROR(__xludf.DUMMYFUNCTION("IMPORTRANGE(""https://docs.google.com/spreadsheets/d/1ZPIx2zimbu-1zeGuxfxkhXNgqhfTssUS5s9k5cZf2wc/edit?gid=901536474#gid=901536474"",""3800!Z2"")"),28.0)</f>
        <v>28</v>
      </c>
      <c r="E49" s="33">
        <f>IFERROR(__xludf.DUMMYFUNCTION("IMPORTRANGE(""https://docs.google.com/spreadsheets/d/1XMcMRG5YO-goaR1U_4jER5WefHmr96--8gyjWBUNI6k/edit?gid=901536474#gid=901536474"",""3800!Z2"")"),3.0)</f>
        <v>3</v>
      </c>
      <c r="F49" s="33">
        <f>IFERROR(__xludf.DUMMYFUNCTION("IMPORTRANGE(""https://docs.google.com/spreadsheets/d/1MA0wBASwppm9FIO036lHI8xvhSVH0v5HYfXfVjKbcyQ/edit?usp=drive_web&amp;ouid=100730119819154221963"",""3800!Z2"")"),0.0)</f>
        <v>0</v>
      </c>
      <c r="G49" s="33">
        <f>IFERROR(__xludf.DUMMYFUNCTION("IMPORTRANGE(""https://docs.google.com/spreadsheets/d/1D2vfyqvZrSRB3H2syxflheuiQYzNPTpGgOdgFd9uWlk/edit?gid=901536474#gid=901536474"",""3800!Z2"")"),0.0)</f>
        <v>0</v>
      </c>
      <c r="H49" s="33">
        <f>IFERROR(__xludf.DUMMYFUNCTION("IMPORTRANGE(""https://docs.google.com/spreadsheets/d/12IEdVEBjKQJvqAAWPA8r9wBGS_rRrYVNO7dHXE_rk60/edit?gid=901536474#gid=901536474"",""3800!Z2"")"),0.0)</f>
        <v>0</v>
      </c>
      <c r="I49" s="33">
        <f>IFERROR(__xludf.DUMMYFUNCTION("IMPORTRANGE(""https://docs.google.com/spreadsheets/d/1LB7ejmtgeP477BH1-F2FJlKUu_JQOyifPAyaNOOGBD0/edit?gid=901536474#gid=901536474"",""3800!Z2"")"),0.0)</f>
        <v>0</v>
      </c>
      <c r="J49" s="33">
        <f>IFERROR(__xludf.DUMMYFUNCTION("IMPORTRANGE(""https://docs.google.com/spreadsheets/d/1b2lul54I9-5u3ezeokOV5YBImAWXrqMYLSuPw_3-hIw/edit?usp=drive_web&amp;ouid=100730119819154221963"",""3800!Z2"")"),0.0)</f>
        <v>0</v>
      </c>
      <c r="K49" s="193">
        <v>28.0</v>
      </c>
      <c r="L49" s="193">
        <f t="shared" si="1"/>
        <v>27</v>
      </c>
      <c r="M49" s="41">
        <f t="shared" si="2"/>
        <v>55</v>
      </c>
      <c r="N49" s="104"/>
      <c r="O49" s="105"/>
      <c r="P49" s="104"/>
      <c r="Q49" s="104"/>
      <c r="Z49" s="7"/>
    </row>
    <row r="50">
      <c r="A50" s="43" t="s">
        <v>29</v>
      </c>
      <c r="B50" s="110" t="s">
        <v>266</v>
      </c>
      <c r="C50" s="33">
        <f>IFERROR(__xludf.DUMMYFUNCTION("IMPORTRANGE(""https://docs.google.com/spreadsheets/d/1ca8cMhzyOckHdNiYinDsEvnGp85K2P0HF-MddinrGXM/edit?gid=901536474#gid=901536474"",""3801!Z2"")"),8.0)</f>
        <v>8</v>
      </c>
      <c r="D50" s="33">
        <f>IFERROR(__xludf.DUMMYFUNCTION("IMPORTRANGE(""https://docs.google.com/spreadsheets/d/1ZPIx2zimbu-1zeGuxfxkhXNgqhfTssUS5s9k5cZf2wc/edit?gid=901536474#gid=901536474"",""3801!Z2"")"),27.0)</f>
        <v>27</v>
      </c>
      <c r="E50" s="33">
        <f>IFERROR(__xludf.DUMMYFUNCTION("IMPORTRANGE(""https://docs.google.com/spreadsheets/d/1XMcMRG5YO-goaR1U_4jER5WefHmr96--8gyjWBUNI6k/edit?gid=901536474#gid=901536474"",""3801!Z2"")"),53.0)</f>
        <v>53</v>
      </c>
      <c r="F50" s="33">
        <f>IFERROR(__xludf.DUMMYFUNCTION("IMPORTRANGE(""https://docs.google.com/spreadsheets/d/1MA0wBASwppm9FIO036lHI8xvhSVH0v5HYfXfVjKbcyQ/edit?usp=drive_web&amp;ouid=100730119819154221963"",""3801!Z2"")"),0.0)</f>
        <v>0</v>
      </c>
      <c r="G50" s="33">
        <f>IFERROR(__xludf.DUMMYFUNCTION("IMPORTRANGE(""https://docs.google.com/spreadsheets/d/1D2vfyqvZrSRB3H2syxflheuiQYzNPTpGgOdgFd9uWlk/edit?gid=901536474#gid=901536474"",""3801!Z2"")"),0.0)</f>
        <v>0</v>
      </c>
      <c r="H50" s="33">
        <f>IFERROR(__xludf.DUMMYFUNCTION("IMPORTRANGE(""https://docs.google.com/spreadsheets/d/12IEdVEBjKQJvqAAWPA8r9wBGS_rRrYVNO7dHXE_rk60/edit?gid=901536474#gid=901536474"",""3801!Z2"")"),0.0)</f>
        <v>0</v>
      </c>
      <c r="I50" s="33">
        <f>IFERROR(__xludf.DUMMYFUNCTION("IMPORTRANGE(""https://docs.google.com/spreadsheets/d/1LB7ejmtgeP477BH1-F2FJlKUu_JQOyifPAyaNOOGBD0/edit?gid=901536474#gid=901536474"",""3801!Z2"")"),0.0)</f>
        <v>0</v>
      </c>
      <c r="J50" s="33">
        <f>IFERROR(__xludf.DUMMYFUNCTION("IMPORTRANGE(""https://docs.google.com/spreadsheets/d/1b2lul54I9-5u3ezeokOV5YBImAWXrqMYLSuPw_3-hIw/edit?usp=drive_web&amp;ouid=100730119819154221963"",""3801!Z2"")"),0.0)</f>
        <v>0</v>
      </c>
      <c r="K50" s="193">
        <v>51.0</v>
      </c>
      <c r="L50" s="193">
        <f t="shared" si="1"/>
        <v>37</v>
      </c>
      <c r="M50" s="41">
        <f t="shared" si="2"/>
        <v>88</v>
      </c>
      <c r="N50" s="104"/>
      <c r="O50" s="105"/>
      <c r="P50" s="104"/>
      <c r="Q50" s="104"/>
      <c r="Z50" s="7"/>
    </row>
    <row r="51">
      <c r="A51" s="43" t="s">
        <v>29</v>
      </c>
      <c r="B51" s="110" t="s">
        <v>268</v>
      </c>
      <c r="C51" s="33">
        <f>IFERROR(__xludf.DUMMYFUNCTION("IMPORTRANGE(""https://docs.google.com/spreadsheets/d/1ca8cMhzyOckHdNiYinDsEvnGp85K2P0HF-MddinrGXM/edit?gid=901536474#gid=901536474"",""3802!Z2"")"),0.0)</f>
        <v>0</v>
      </c>
      <c r="D51" s="33">
        <f>IFERROR(__xludf.DUMMYFUNCTION("IMPORTRANGE(""https://docs.google.com/spreadsheets/d/1ZPIx2zimbu-1zeGuxfxkhXNgqhfTssUS5s9k5cZf2wc/edit?gid=901536474#gid=901536474"",""3802!Z2"")"),16.0)</f>
        <v>16</v>
      </c>
      <c r="E51" s="33">
        <f>IFERROR(__xludf.DUMMYFUNCTION("IMPORTRANGE(""https://docs.google.com/spreadsheets/d/1XMcMRG5YO-goaR1U_4jER5WefHmr96--8gyjWBUNI6k/edit?gid=901536474#gid=901536474"",""3802!Z2"")"),0.0)</f>
        <v>0</v>
      </c>
      <c r="F51" s="33">
        <f>IFERROR(__xludf.DUMMYFUNCTION("IMPORTRANGE(""https://docs.google.com/spreadsheets/d/1MA0wBASwppm9FIO036lHI8xvhSVH0v5HYfXfVjKbcyQ/edit?usp=drive_web&amp;ouid=100730119819154221963"",""3802!Z2"")"),2.0)</f>
        <v>2</v>
      </c>
      <c r="G51" s="33">
        <f>IFERROR(__xludf.DUMMYFUNCTION("IMPORTRANGE(""https://docs.google.com/spreadsheets/d/1D2vfyqvZrSRB3H2syxflheuiQYzNPTpGgOdgFd9uWlk/edit?gid=901536474#gid=901536474"",""3802!Z2"")"),0.0)</f>
        <v>0</v>
      </c>
      <c r="H51" s="33">
        <f>IFERROR(__xludf.DUMMYFUNCTION("IMPORTRANGE(""https://docs.google.com/spreadsheets/d/12IEdVEBjKQJvqAAWPA8r9wBGS_rRrYVNO7dHXE_rk60/edit?gid=901536474#gid=901536474"",""3802!Z2"")"),0.0)</f>
        <v>0</v>
      </c>
      <c r="I51" s="33">
        <f>IFERROR(__xludf.DUMMYFUNCTION("IMPORTRANGE(""https://docs.google.com/spreadsheets/d/1LB7ejmtgeP477BH1-F2FJlKUu_JQOyifPAyaNOOGBD0/edit?gid=901536474#gid=901536474"",""3802!Z2"")"),3.0)</f>
        <v>3</v>
      </c>
      <c r="J51" s="33">
        <f>IFERROR(__xludf.DUMMYFUNCTION("IMPORTRANGE(""https://docs.google.com/spreadsheets/d/1b2lul54I9-5u3ezeokOV5YBImAWXrqMYLSuPw_3-hIw/edit?usp=drive_web&amp;ouid=100730119819154221963"",""3802!Z2"")"),0.0)</f>
        <v>0</v>
      </c>
      <c r="K51" s="193">
        <v>36.0</v>
      </c>
      <c r="L51" s="193">
        <f t="shared" si="1"/>
        <v>25</v>
      </c>
      <c r="M51" s="41">
        <f t="shared" si="2"/>
        <v>61</v>
      </c>
      <c r="N51" s="44" t="s">
        <v>42</v>
      </c>
      <c r="O51" s="108"/>
      <c r="P51" s="108">
        <v>20.0</v>
      </c>
      <c r="Q51" s="108">
        <v>20.0</v>
      </c>
      <c r="Z51" s="7"/>
    </row>
    <row r="52">
      <c r="A52" s="43" t="s">
        <v>29</v>
      </c>
      <c r="B52" s="110" t="s">
        <v>270</v>
      </c>
      <c r="C52" s="33">
        <f>IFERROR(__xludf.DUMMYFUNCTION("IMPORTRANGE(""https://docs.google.com/spreadsheets/d/1ca8cMhzyOckHdNiYinDsEvnGp85K2P0HF-MddinrGXM/edit?gid=901536474#gid=901536474"",""3803!Z2"")"),0.0)</f>
        <v>0</v>
      </c>
      <c r="D52" s="33">
        <f>IFERROR(__xludf.DUMMYFUNCTION("IMPORTRANGE(""https://docs.google.com/spreadsheets/d/1ZPIx2zimbu-1zeGuxfxkhXNgqhfTssUS5s9k5cZf2wc/edit?gid=901536474#gid=901536474"",""3803!Z2"")"),71.0)</f>
        <v>71</v>
      </c>
      <c r="E52" s="33">
        <f>IFERROR(__xludf.DUMMYFUNCTION("IMPORTRANGE(""https://docs.google.com/spreadsheets/d/1XMcMRG5YO-goaR1U_4jER5WefHmr96--8gyjWBUNI6k/edit?gid=901536474#gid=901536474"",""3803!Z2"")"),83.0)</f>
        <v>83</v>
      </c>
      <c r="F52" s="33">
        <f>IFERROR(__xludf.DUMMYFUNCTION("IMPORTRANGE(""https://docs.google.com/spreadsheets/d/1MA0wBASwppm9FIO036lHI8xvhSVH0v5HYfXfVjKbcyQ/edit?usp=drive_web&amp;ouid=100730119819154221963"",""3803!Z2"")"),0.0)</f>
        <v>0</v>
      </c>
      <c r="G52" s="33">
        <f>IFERROR(__xludf.DUMMYFUNCTION("IMPORTRANGE(""https://docs.google.com/spreadsheets/d/1D2vfyqvZrSRB3H2syxflheuiQYzNPTpGgOdgFd9uWlk/edit?gid=901536474#gid=901536474"",""3803!Z2"")"),15.0)</f>
        <v>15</v>
      </c>
      <c r="H52" s="33">
        <f>IFERROR(__xludf.DUMMYFUNCTION("IMPORTRANGE(""https://docs.google.com/spreadsheets/d/12IEdVEBjKQJvqAAWPA8r9wBGS_rRrYVNO7dHXE_rk60/edit?gid=901536474#gid=901536474"",""3803!Z2"")"),3.0)</f>
        <v>3</v>
      </c>
      <c r="I52" s="33">
        <f>IFERROR(__xludf.DUMMYFUNCTION("IMPORTRANGE(""https://docs.google.com/spreadsheets/d/1LB7ejmtgeP477BH1-F2FJlKUu_JQOyifPAyaNOOGBD0/edit?gid=901536474#gid=901536474"",""3803!Z2"")"),3.0)</f>
        <v>3</v>
      </c>
      <c r="J52" s="33">
        <f>IFERROR(__xludf.DUMMYFUNCTION("IMPORTRANGE(""https://docs.google.com/spreadsheets/d/1b2lul54I9-5u3ezeokOV5YBImAWXrqMYLSuPw_3-hIw/edit?usp=drive_web&amp;ouid=100730119819154221963"",""3803!Z2"")"),0.0)</f>
        <v>0</v>
      </c>
      <c r="K52" s="193">
        <v>123.0</v>
      </c>
      <c r="L52" s="193">
        <f t="shared" si="1"/>
        <v>52</v>
      </c>
      <c r="M52" s="41">
        <f t="shared" si="2"/>
        <v>175</v>
      </c>
      <c r="N52" s="104"/>
      <c r="O52" s="105"/>
      <c r="P52" s="104"/>
      <c r="Q52" s="104"/>
      <c r="Z52" s="7"/>
    </row>
    <row r="53">
      <c r="A53" s="43" t="s">
        <v>29</v>
      </c>
      <c r="B53" s="110" t="s">
        <v>272</v>
      </c>
      <c r="C53" s="33">
        <f>IFERROR(__xludf.DUMMYFUNCTION("IMPORTRANGE(""https://docs.google.com/spreadsheets/d/1ca8cMhzyOckHdNiYinDsEvnGp85K2P0HF-MddinrGXM/edit?gid=901536474#gid=901536474"",""3804!Z2"")"),24.0)</f>
        <v>24</v>
      </c>
      <c r="D53" s="33">
        <f>IFERROR(__xludf.DUMMYFUNCTION("IMPORTRANGE(""https://docs.google.com/spreadsheets/d/1ZPIx2zimbu-1zeGuxfxkhXNgqhfTssUS5s9k5cZf2wc/edit?gid=901536474#gid=901536474"",""3804!Z2"")"),20.0)</f>
        <v>20</v>
      </c>
      <c r="E53" s="33">
        <f>IFERROR(__xludf.DUMMYFUNCTION("IMPORTRANGE(""https://docs.google.com/spreadsheets/d/1XMcMRG5YO-goaR1U_4jER5WefHmr96--8gyjWBUNI6k/edit?gid=901536474#gid=901536474"",""3804!Z2"")"),14.0)</f>
        <v>14</v>
      </c>
      <c r="F53" s="33">
        <f>IFERROR(__xludf.DUMMYFUNCTION("IMPORTRANGE(""https://docs.google.com/spreadsheets/d/1MA0wBASwppm9FIO036lHI8xvhSVH0v5HYfXfVjKbcyQ/edit?usp=drive_web&amp;ouid=100730119819154221963"",""3804!Z2"")"),0.0)</f>
        <v>0</v>
      </c>
      <c r="G53" s="33">
        <f>IFERROR(__xludf.DUMMYFUNCTION("IMPORTRANGE(""https://docs.google.com/spreadsheets/d/1D2vfyqvZrSRB3H2syxflheuiQYzNPTpGgOdgFd9uWlk/edit?gid=901536474#gid=901536474"",""3804!Z2"")"),0.0)</f>
        <v>0</v>
      </c>
      <c r="H53" s="33">
        <f>IFERROR(__xludf.DUMMYFUNCTION("IMPORTRANGE(""https://docs.google.com/spreadsheets/d/12IEdVEBjKQJvqAAWPA8r9wBGS_rRrYVNO7dHXE_rk60/edit?gid=901536474#gid=901536474"",""3804!Z2"")"),0.0)</f>
        <v>0</v>
      </c>
      <c r="I53" s="33">
        <f>IFERROR(__xludf.DUMMYFUNCTION("IMPORTRANGE(""https://docs.google.com/spreadsheets/d/1LB7ejmtgeP477BH1-F2FJlKUu_JQOyifPAyaNOOGBD0/edit?gid=901536474#gid=901536474"",""3804!Z2"")"),0.0)</f>
        <v>0</v>
      </c>
      <c r="J53" s="33">
        <f>IFERROR(__xludf.DUMMYFUNCTION("IMPORTRANGE(""https://docs.google.com/spreadsheets/d/1b2lul54I9-5u3ezeokOV5YBImAWXrqMYLSuPw_3-hIw/edit?usp=drive_web&amp;ouid=100730119819154221963"",""3804!Z2"")"),0.0)</f>
        <v>0</v>
      </c>
      <c r="K53" s="193">
        <v>28.0</v>
      </c>
      <c r="L53" s="193">
        <f t="shared" si="1"/>
        <v>30</v>
      </c>
      <c r="M53" s="41">
        <f t="shared" si="2"/>
        <v>58</v>
      </c>
      <c r="N53" s="104"/>
      <c r="O53" s="105"/>
      <c r="P53" s="104"/>
      <c r="Q53" s="104"/>
      <c r="Z53" s="7"/>
    </row>
    <row r="54">
      <c r="A54" s="43" t="s">
        <v>29</v>
      </c>
      <c r="B54" s="110" t="s">
        <v>274</v>
      </c>
      <c r="C54" s="33">
        <f>IFERROR(__xludf.DUMMYFUNCTION("IMPORTRANGE(""https://docs.google.com/spreadsheets/d/1ca8cMhzyOckHdNiYinDsEvnGp85K2P0HF-MddinrGXM/edit?gid=901536474#gid=901536474"",""3805!Z2"")"),0.0)</f>
        <v>0</v>
      </c>
      <c r="D54" s="33">
        <f>IFERROR(__xludf.DUMMYFUNCTION("IMPORTRANGE(""https://docs.google.com/spreadsheets/d/1ZPIx2zimbu-1zeGuxfxkhXNgqhfTssUS5s9k5cZf2wc/edit?gid=901536474#gid=901536474"",""3805!Z2"")"),40.0)</f>
        <v>40</v>
      </c>
      <c r="E54" s="33">
        <f>IFERROR(__xludf.DUMMYFUNCTION("IMPORTRANGE(""https://docs.google.com/spreadsheets/d/1XMcMRG5YO-goaR1U_4jER5WefHmr96--8gyjWBUNI6k/edit?gid=901536474#gid=901536474"",""3805!Z2"")"),25.0)</f>
        <v>25</v>
      </c>
      <c r="F54" s="33">
        <f>IFERROR(__xludf.DUMMYFUNCTION("IMPORTRANGE(""https://docs.google.com/spreadsheets/d/1MA0wBASwppm9FIO036lHI8xvhSVH0v5HYfXfVjKbcyQ/edit?usp=drive_web&amp;ouid=100730119819154221963"",""3805!Z2"")"),0.0)</f>
        <v>0</v>
      </c>
      <c r="G54" s="33">
        <f>IFERROR(__xludf.DUMMYFUNCTION("IMPORTRANGE(""https://docs.google.com/spreadsheets/d/1D2vfyqvZrSRB3H2syxflheuiQYzNPTpGgOdgFd9uWlk/edit?gid=901536474#gid=901536474"",""3805!Z2"")"),0.0)</f>
        <v>0</v>
      </c>
      <c r="H54" s="33">
        <f>IFERROR(__xludf.DUMMYFUNCTION("IMPORTRANGE(""https://docs.google.com/spreadsheets/d/12IEdVEBjKQJvqAAWPA8r9wBGS_rRrYVNO7dHXE_rk60/edit?gid=901536474#gid=901536474"",""3805!Z2"")"),0.0)</f>
        <v>0</v>
      </c>
      <c r="I54" s="33">
        <f>IFERROR(__xludf.DUMMYFUNCTION("IMPORTRANGE(""https://docs.google.com/spreadsheets/d/1LB7ejmtgeP477BH1-F2FJlKUu_JQOyifPAyaNOOGBD0/edit?gid=901536474#gid=901536474"",""3805!Z2"")"),0.0)</f>
        <v>0</v>
      </c>
      <c r="J54" s="33">
        <f>IFERROR(__xludf.DUMMYFUNCTION("IMPORTRANGE(""https://docs.google.com/spreadsheets/d/1b2lul54I9-5u3ezeokOV5YBImAWXrqMYLSuPw_3-hIw/edit?usp=drive_web&amp;ouid=100730119819154221963"",""3805!Z2"")"),0.0)</f>
        <v>0</v>
      </c>
      <c r="K54" s="193">
        <v>40.0</v>
      </c>
      <c r="L54" s="193">
        <f t="shared" si="1"/>
        <v>25</v>
      </c>
      <c r="M54" s="41">
        <f t="shared" si="2"/>
        <v>65</v>
      </c>
      <c r="N54" s="104"/>
      <c r="O54" s="105"/>
      <c r="P54" s="104"/>
      <c r="Q54" s="104"/>
      <c r="Z54" s="7"/>
    </row>
    <row r="55">
      <c r="A55" s="43" t="s">
        <v>29</v>
      </c>
      <c r="B55" s="110" t="s">
        <v>276</v>
      </c>
      <c r="C55" s="33">
        <f>IFERROR(__xludf.DUMMYFUNCTION("IMPORTRANGE(""https://docs.google.com/spreadsheets/d/1ca8cMhzyOckHdNiYinDsEvnGp85K2P0HF-MddinrGXM/edit?gid=901536474#gid=901536474"",""3806!Z2"")"),0.0)</f>
        <v>0</v>
      </c>
      <c r="D55" s="33">
        <f>IFERROR(__xludf.DUMMYFUNCTION("IMPORTRANGE(""https://docs.google.com/spreadsheets/d/1ZPIx2zimbu-1zeGuxfxkhXNgqhfTssUS5s9k5cZf2wc/edit?gid=901536474#gid=901536474"",""3806!Z2"")"),20.0)</f>
        <v>20</v>
      </c>
      <c r="E55" s="33">
        <f>IFERROR(__xludf.DUMMYFUNCTION("IMPORTRANGE(""https://docs.google.com/spreadsheets/d/1XMcMRG5YO-goaR1U_4jER5WefHmr96--8gyjWBUNI6k/edit?gid=901536474#gid=901536474"",""3806!Z2"")"),38.0)</f>
        <v>38</v>
      </c>
      <c r="F55" s="33">
        <f>IFERROR(__xludf.DUMMYFUNCTION("IMPORTRANGE(""https://docs.google.com/spreadsheets/d/1MA0wBASwppm9FIO036lHI8xvhSVH0v5HYfXfVjKbcyQ/edit?usp=drive_web&amp;ouid=100730119819154221963"",""3806!Z2"")"),0.0)</f>
        <v>0</v>
      </c>
      <c r="G55" s="33">
        <f>IFERROR(__xludf.DUMMYFUNCTION("IMPORTRANGE(""https://docs.google.com/spreadsheets/d/1D2vfyqvZrSRB3H2syxflheuiQYzNPTpGgOdgFd9uWlk/edit?gid=901536474#gid=901536474"",""3806!Z2"")"),0.0)</f>
        <v>0</v>
      </c>
      <c r="H55" s="33">
        <f>IFERROR(__xludf.DUMMYFUNCTION("IMPORTRANGE(""https://docs.google.com/spreadsheets/d/12IEdVEBjKQJvqAAWPA8r9wBGS_rRrYVNO7dHXE_rk60/edit?gid=901536474#gid=901536474"",""3806!Z2"")"),0.0)</f>
        <v>0</v>
      </c>
      <c r="I55" s="33">
        <f>IFERROR(__xludf.DUMMYFUNCTION("IMPORTRANGE(""https://docs.google.com/spreadsheets/d/1LB7ejmtgeP477BH1-F2FJlKUu_JQOyifPAyaNOOGBD0/edit?gid=901536474#gid=901536474"",""3806!Z2"")"),0.0)</f>
        <v>0</v>
      </c>
      <c r="J55" s="33">
        <f>IFERROR(__xludf.DUMMYFUNCTION("IMPORTRANGE(""https://docs.google.com/spreadsheets/d/1b2lul54I9-5u3ezeokOV5YBImAWXrqMYLSuPw_3-hIw/edit?usp=drive_web&amp;ouid=100730119819154221963"",""3806!Z2"")"),0.0)</f>
        <v>0</v>
      </c>
      <c r="K55" s="193">
        <v>56.0</v>
      </c>
      <c r="L55" s="193">
        <f t="shared" si="1"/>
        <v>42</v>
      </c>
      <c r="M55" s="41">
        <f t="shared" si="2"/>
        <v>98</v>
      </c>
      <c r="N55" s="44" t="s">
        <v>42</v>
      </c>
      <c r="O55" s="108"/>
      <c r="P55" s="108">
        <v>20.0</v>
      </c>
      <c r="Q55" s="108">
        <v>20.0</v>
      </c>
      <c r="Z55" s="7"/>
    </row>
    <row r="56">
      <c r="A56" s="43" t="s">
        <v>29</v>
      </c>
      <c r="B56" s="110" t="s">
        <v>278</v>
      </c>
      <c r="C56" s="33">
        <f>IFERROR(__xludf.DUMMYFUNCTION("IMPORTRANGE(""https://docs.google.com/spreadsheets/d/1ca8cMhzyOckHdNiYinDsEvnGp85K2P0HF-MddinrGXM/edit?gid=901536474#gid=901536474"",""3807!Z2"")"),8.0)</f>
        <v>8</v>
      </c>
      <c r="D56" s="33">
        <f>IFERROR(__xludf.DUMMYFUNCTION("IMPORTRANGE(""https://docs.google.com/spreadsheets/d/1ZPIx2zimbu-1zeGuxfxkhXNgqhfTssUS5s9k5cZf2wc/edit?gid=901536474#gid=901536474"",""3807!Z2"")"),36.0)</f>
        <v>36</v>
      </c>
      <c r="E56" s="33">
        <f>IFERROR(__xludf.DUMMYFUNCTION("IMPORTRANGE(""https://docs.google.com/spreadsheets/d/1XMcMRG5YO-goaR1U_4jER5WefHmr96--8gyjWBUNI6k/edit?gid=901536474#gid=901536474"",""3807!Z2"")"),3.0)</f>
        <v>3</v>
      </c>
      <c r="F56" s="33">
        <f>IFERROR(__xludf.DUMMYFUNCTION("IMPORTRANGE(""https://docs.google.com/spreadsheets/d/1MA0wBASwppm9FIO036lHI8xvhSVH0v5HYfXfVjKbcyQ/edit?usp=drive_web&amp;ouid=100730119819154221963"",""3807!Z2"")"),0.0)</f>
        <v>0</v>
      </c>
      <c r="G56" s="33">
        <f>IFERROR(__xludf.DUMMYFUNCTION("IMPORTRANGE(""https://docs.google.com/spreadsheets/d/1D2vfyqvZrSRB3H2syxflheuiQYzNPTpGgOdgFd9uWlk/edit?gid=901536474#gid=901536474"",""3807!Z2"")"),0.0)</f>
        <v>0</v>
      </c>
      <c r="H56" s="33">
        <f>IFERROR(__xludf.DUMMYFUNCTION("IMPORTRANGE(""https://docs.google.com/spreadsheets/d/12IEdVEBjKQJvqAAWPA8r9wBGS_rRrYVNO7dHXE_rk60/edit?gid=901536474#gid=901536474"",""3807!Z2"")"),0.0)</f>
        <v>0</v>
      </c>
      <c r="I56" s="33">
        <f>IFERROR(__xludf.DUMMYFUNCTION("IMPORTRANGE(""https://docs.google.com/spreadsheets/d/1LB7ejmtgeP477BH1-F2FJlKUu_JQOyifPAyaNOOGBD0/edit?gid=901536474#gid=901536474"",""3807!Z2"")"),0.0)</f>
        <v>0</v>
      </c>
      <c r="J56" s="33">
        <f>IFERROR(__xludf.DUMMYFUNCTION("IMPORTRANGE(""https://docs.google.com/spreadsheets/d/1b2lul54I9-5u3ezeokOV5YBImAWXrqMYLSuPw_3-hIw/edit?usp=drive_web&amp;ouid=100730119819154221963"",""3807!Z2"")"),0.0)</f>
        <v>0</v>
      </c>
      <c r="K56" s="193">
        <v>28.0</v>
      </c>
      <c r="L56" s="193">
        <f t="shared" si="1"/>
        <v>59</v>
      </c>
      <c r="M56" s="41">
        <f t="shared" si="2"/>
        <v>87</v>
      </c>
      <c r="N56" s="44" t="s">
        <v>196</v>
      </c>
      <c r="O56" s="108"/>
      <c r="P56" s="108">
        <v>20.0</v>
      </c>
      <c r="Q56" s="108">
        <v>20.0</v>
      </c>
      <c r="Z56" s="7"/>
    </row>
    <row r="57">
      <c r="A57" s="43" t="s">
        <v>29</v>
      </c>
      <c r="B57" s="110" t="s">
        <v>280</v>
      </c>
      <c r="C57" s="33">
        <f>IFERROR(__xludf.DUMMYFUNCTION("IMPORTRANGE(""https://docs.google.com/spreadsheets/d/1ca8cMhzyOckHdNiYinDsEvnGp85K2P0HF-MddinrGXM/edit?gid=901536474#gid=901536474"",""3808!Z2"")"),0.0)</f>
        <v>0</v>
      </c>
      <c r="D57" s="33">
        <f>IFERROR(__xludf.DUMMYFUNCTION("IMPORTRANGE(""https://docs.google.com/spreadsheets/d/1ZPIx2zimbu-1zeGuxfxkhXNgqhfTssUS5s9k5cZf2wc/edit?gid=901536474#gid=901536474"",""3808!Z2"")"),16.0)</f>
        <v>16</v>
      </c>
      <c r="E57" s="33">
        <f>IFERROR(__xludf.DUMMYFUNCTION("IMPORTRANGE(""https://docs.google.com/spreadsheets/d/1XMcMRG5YO-goaR1U_4jER5WefHmr96--8gyjWBUNI6k/edit?gid=901536474#gid=901536474"",""3808!Z2"")"),63.0)</f>
        <v>63</v>
      </c>
      <c r="F57" s="33">
        <f>IFERROR(__xludf.DUMMYFUNCTION("IMPORTRANGE(""https://docs.google.com/spreadsheets/d/1MA0wBASwppm9FIO036lHI8xvhSVH0v5HYfXfVjKbcyQ/edit?usp=drive_web&amp;ouid=100730119819154221963"",""3808!Z2"")"),0.0)</f>
        <v>0</v>
      </c>
      <c r="G57" s="33">
        <f>IFERROR(__xludf.DUMMYFUNCTION("IMPORTRANGE(""https://docs.google.com/spreadsheets/d/1D2vfyqvZrSRB3H2syxflheuiQYzNPTpGgOdgFd9uWlk/edit?gid=901536474#gid=901536474"",""3808!Z2"")"),0.0)</f>
        <v>0</v>
      </c>
      <c r="H57" s="33">
        <f>IFERROR(__xludf.DUMMYFUNCTION("IMPORTRANGE(""https://docs.google.com/spreadsheets/d/12IEdVEBjKQJvqAAWPA8r9wBGS_rRrYVNO7dHXE_rk60/edit?gid=901536474#gid=901536474"",""3808!Z2"")"),0.0)</f>
        <v>0</v>
      </c>
      <c r="I57" s="33">
        <f>IFERROR(__xludf.DUMMYFUNCTION("IMPORTRANGE(""https://docs.google.com/spreadsheets/d/1LB7ejmtgeP477BH1-F2FJlKUu_JQOyifPAyaNOOGBD0/edit?gid=901536474#gid=901536474"",""3808!Z2"")"),0.0)</f>
        <v>0</v>
      </c>
      <c r="J57" s="33">
        <f>IFERROR(__xludf.DUMMYFUNCTION("IMPORTRANGE(""https://docs.google.com/spreadsheets/d/1b2lul54I9-5u3ezeokOV5YBImAWXrqMYLSuPw_3-hIw/edit?usp=drive_web&amp;ouid=100730119819154221963"",""3808!Z2"")"),0.0)</f>
        <v>0</v>
      </c>
      <c r="K57" s="193">
        <v>52.0</v>
      </c>
      <c r="L57" s="193">
        <f t="shared" si="1"/>
        <v>27</v>
      </c>
      <c r="M57" s="41">
        <f t="shared" si="2"/>
        <v>79</v>
      </c>
      <c r="N57" s="104"/>
      <c r="O57" s="105"/>
      <c r="P57" s="104"/>
      <c r="Q57" s="104"/>
      <c r="Z57" s="7"/>
    </row>
    <row r="58">
      <c r="A58" s="43" t="s">
        <v>29</v>
      </c>
      <c r="B58" s="110" t="s">
        <v>282</v>
      </c>
      <c r="C58" s="33">
        <f>IFERROR(__xludf.DUMMYFUNCTION("IMPORTRANGE(""https://docs.google.com/spreadsheets/d/1ca8cMhzyOckHdNiYinDsEvnGp85K2P0HF-MddinrGXM/edit?gid=901536474#gid=901536474"",""3809!Z2"")"),8.0)</f>
        <v>8</v>
      </c>
      <c r="D58" s="33">
        <f>IFERROR(__xludf.DUMMYFUNCTION("IMPORTRANGE(""https://docs.google.com/spreadsheets/d/1ZPIx2zimbu-1zeGuxfxkhXNgqhfTssUS5s9k5cZf2wc/edit?gid=901536474#gid=901536474"",""3809!Z2"")"),0.0)</f>
        <v>0</v>
      </c>
      <c r="E58" s="33">
        <f>IFERROR(__xludf.DUMMYFUNCTION("IMPORTRANGE(""https://docs.google.com/spreadsheets/d/1XMcMRG5YO-goaR1U_4jER5WefHmr96--8gyjWBUNI6k/edit?gid=901536474#gid=901536474"",""3809!Z2"")"),73.0)</f>
        <v>73</v>
      </c>
      <c r="F58" s="33">
        <f>IFERROR(__xludf.DUMMYFUNCTION("IMPORTRANGE(""https://docs.google.com/spreadsheets/d/1MA0wBASwppm9FIO036lHI8xvhSVH0v5HYfXfVjKbcyQ/edit?usp=drive_web&amp;ouid=100730119819154221963"",""3809!Z2"")"),0.0)</f>
        <v>0</v>
      </c>
      <c r="G58" s="33">
        <f>IFERROR(__xludf.DUMMYFUNCTION("IMPORTRANGE(""https://docs.google.com/spreadsheets/d/1D2vfyqvZrSRB3H2syxflheuiQYzNPTpGgOdgFd9uWlk/edit?gid=901536474#gid=901536474"",""3809!Z2"")"),0.0)</f>
        <v>0</v>
      </c>
      <c r="H58" s="33">
        <f>IFERROR(__xludf.DUMMYFUNCTION("IMPORTRANGE(""https://docs.google.com/spreadsheets/d/12IEdVEBjKQJvqAAWPA8r9wBGS_rRrYVNO7dHXE_rk60/edit?gid=901536474#gid=901536474"",""3809!Z2"")"),0.0)</f>
        <v>0</v>
      </c>
      <c r="I58" s="33">
        <f>IFERROR(__xludf.DUMMYFUNCTION("IMPORTRANGE(""https://docs.google.com/spreadsheets/d/1LB7ejmtgeP477BH1-F2FJlKUu_JQOyifPAyaNOOGBD0/edit?gid=901536474#gid=901536474"",""3809!Z2"")"),0.0)</f>
        <v>0</v>
      </c>
      <c r="J58" s="33">
        <f>IFERROR(__xludf.DUMMYFUNCTION("IMPORTRANGE(""https://docs.google.com/spreadsheets/d/1b2lul54I9-5u3ezeokOV5YBImAWXrqMYLSuPw_3-hIw/edit?usp=drive_web&amp;ouid=100730119819154221963"",""3809!Z2"")"),0.0)</f>
        <v>0</v>
      </c>
      <c r="K58" s="193">
        <v>52.0</v>
      </c>
      <c r="L58" s="193">
        <f t="shared" si="1"/>
        <v>29</v>
      </c>
      <c r="M58" s="41">
        <f t="shared" si="2"/>
        <v>81</v>
      </c>
      <c r="N58" s="104"/>
      <c r="O58" s="105"/>
      <c r="P58" s="104"/>
      <c r="Q58" s="104"/>
      <c r="Z58" s="7"/>
    </row>
    <row r="59">
      <c r="A59" s="43" t="s">
        <v>29</v>
      </c>
      <c r="B59" s="110" t="s">
        <v>284</v>
      </c>
      <c r="C59" s="33">
        <f>IFERROR(__xludf.DUMMYFUNCTION("IMPORTRANGE(""https://docs.google.com/spreadsheets/d/1ca8cMhzyOckHdNiYinDsEvnGp85K2P0HF-MddinrGXM/edit?gid=901536474#gid=901536474"",""3810!Z2"")"),16.0)</f>
        <v>16</v>
      </c>
      <c r="D59" s="33">
        <f>IFERROR(__xludf.DUMMYFUNCTION("IMPORTRANGE(""https://docs.google.com/spreadsheets/d/1ZPIx2zimbu-1zeGuxfxkhXNgqhfTssUS5s9k5cZf2wc/edit?gid=901536474#gid=901536474"",""3810!Z2"")"),20.0)</f>
        <v>20</v>
      </c>
      <c r="E59" s="33">
        <f>IFERROR(__xludf.DUMMYFUNCTION("IMPORTRANGE(""https://docs.google.com/spreadsheets/d/1XMcMRG5YO-goaR1U_4jER5WefHmr96--8gyjWBUNI6k/edit?gid=901536474#gid=901536474"",""3810!Z2"")"),31.0)</f>
        <v>31</v>
      </c>
      <c r="F59" s="33">
        <f>IFERROR(__xludf.DUMMYFUNCTION("IMPORTRANGE(""https://docs.google.com/spreadsheets/d/1MA0wBASwppm9FIO036lHI8xvhSVH0v5HYfXfVjKbcyQ/edit?usp=drive_web&amp;ouid=100730119819154221963"",""3810!Z2"")"),0.0)</f>
        <v>0</v>
      </c>
      <c r="G59" s="33">
        <f>IFERROR(__xludf.DUMMYFUNCTION("IMPORTRANGE(""https://docs.google.com/spreadsheets/d/1D2vfyqvZrSRB3H2syxflheuiQYzNPTpGgOdgFd9uWlk/edit?gid=901536474#gid=901536474"",""3810!Z2"")"),0.0)</f>
        <v>0</v>
      </c>
      <c r="H59" s="33">
        <f>IFERROR(__xludf.DUMMYFUNCTION("IMPORTRANGE(""https://docs.google.com/spreadsheets/d/12IEdVEBjKQJvqAAWPA8r9wBGS_rRrYVNO7dHXE_rk60/edit?gid=901536474#gid=901536474"",""3810!Z2"")"),0.0)</f>
        <v>0</v>
      </c>
      <c r="I59" s="33">
        <f>IFERROR(__xludf.DUMMYFUNCTION("IMPORTRANGE(""https://docs.google.com/spreadsheets/d/1LB7ejmtgeP477BH1-F2FJlKUu_JQOyifPAyaNOOGBD0/edit?gid=901536474#gid=901536474"",""3810!Z2"")"),0.0)</f>
        <v>0</v>
      </c>
      <c r="J59" s="33">
        <f>IFERROR(__xludf.DUMMYFUNCTION("IMPORTRANGE(""https://docs.google.com/spreadsheets/d/1b2lul54I9-5u3ezeokOV5YBImAWXrqMYLSuPw_3-hIw/edit?usp=drive_web&amp;ouid=100730119819154221963"",""3810!Z2"")"),1.0)</f>
        <v>1</v>
      </c>
      <c r="K59" s="193">
        <v>29.0</v>
      </c>
      <c r="L59" s="193">
        <f t="shared" si="1"/>
        <v>39</v>
      </c>
      <c r="M59" s="41">
        <f t="shared" si="2"/>
        <v>68</v>
      </c>
      <c r="N59" s="104"/>
      <c r="O59" s="105"/>
      <c r="P59" s="104"/>
      <c r="Q59" s="104"/>
      <c r="Z59" s="7"/>
    </row>
    <row r="60">
      <c r="A60" s="43" t="s">
        <v>29</v>
      </c>
      <c r="B60" s="110" t="s">
        <v>286</v>
      </c>
      <c r="C60" s="33">
        <f>IFERROR(__xludf.DUMMYFUNCTION("IMPORTRANGE(""https://docs.google.com/spreadsheets/d/1ca8cMhzyOckHdNiYinDsEvnGp85K2P0HF-MddinrGXM/edit?gid=901536474#gid=901536474"",""3811!Z2"")"),0.0)</f>
        <v>0</v>
      </c>
      <c r="D60" s="33">
        <f>IFERROR(__xludf.DUMMYFUNCTION("IMPORTRANGE(""https://docs.google.com/spreadsheets/d/1ZPIx2zimbu-1zeGuxfxkhXNgqhfTssUS5s9k5cZf2wc/edit?gid=901536474#gid=901536474"",""3811!Z2"")"),40.0)</f>
        <v>40</v>
      </c>
      <c r="E60" s="33">
        <f>IFERROR(__xludf.DUMMYFUNCTION("IMPORTRANGE(""https://docs.google.com/spreadsheets/d/1XMcMRG5YO-goaR1U_4jER5WefHmr96--8gyjWBUNI6k/edit?gid=901536474#gid=901536474"",""3811!Z2"")"),62.0)</f>
        <v>62</v>
      </c>
      <c r="F60" s="33">
        <f>IFERROR(__xludf.DUMMYFUNCTION("IMPORTRANGE(""https://docs.google.com/spreadsheets/d/1MA0wBASwppm9FIO036lHI8xvhSVH0v5HYfXfVjKbcyQ/edit?usp=drive_web&amp;ouid=100730119819154221963"",""3811!Z2"")"),0.0)</f>
        <v>0</v>
      </c>
      <c r="G60" s="33">
        <f>IFERROR(__xludf.DUMMYFUNCTION("IMPORTRANGE(""https://docs.google.com/spreadsheets/d/1D2vfyqvZrSRB3H2syxflheuiQYzNPTpGgOdgFd9uWlk/edit?gid=901536474#gid=901536474"",""3811!Z2"")"),0.0)</f>
        <v>0</v>
      </c>
      <c r="H60" s="33">
        <f>IFERROR(__xludf.DUMMYFUNCTION("IMPORTRANGE(""https://docs.google.com/spreadsheets/d/12IEdVEBjKQJvqAAWPA8r9wBGS_rRrYVNO7dHXE_rk60/edit?gid=901536474#gid=901536474"",""3811!Z2"")"),0.0)</f>
        <v>0</v>
      </c>
      <c r="I60" s="33">
        <f>IFERROR(__xludf.DUMMYFUNCTION("IMPORTRANGE(""https://docs.google.com/spreadsheets/d/1LB7ejmtgeP477BH1-F2FJlKUu_JQOyifPAyaNOOGBD0/edit?gid=901536474#gid=901536474"",""3811!Z2"")"),0.0)</f>
        <v>0</v>
      </c>
      <c r="J60" s="33">
        <f>IFERROR(__xludf.DUMMYFUNCTION("IMPORTRANGE(""https://docs.google.com/spreadsheets/d/1b2lul54I9-5u3ezeokOV5YBImAWXrqMYLSuPw_3-hIw/edit?usp=drive_web&amp;ouid=100730119819154221963"",""3811!Z2"")"),0.0)</f>
        <v>0</v>
      </c>
      <c r="K60" s="193">
        <v>72.0</v>
      </c>
      <c r="L60" s="193">
        <f t="shared" si="1"/>
        <v>70</v>
      </c>
      <c r="M60" s="41">
        <f t="shared" si="2"/>
        <v>142</v>
      </c>
      <c r="N60" s="44" t="s">
        <v>47</v>
      </c>
      <c r="O60" s="108"/>
      <c r="P60" s="108">
        <v>20.0</v>
      </c>
      <c r="Q60" s="108">
        <v>20.0</v>
      </c>
      <c r="Z60" s="7"/>
    </row>
    <row r="61">
      <c r="A61" s="43" t="s">
        <v>29</v>
      </c>
      <c r="B61" s="110" t="s">
        <v>288</v>
      </c>
      <c r="C61" s="33">
        <f>IFERROR(__xludf.DUMMYFUNCTION("IMPORTRANGE(""https://docs.google.com/spreadsheets/d/1ca8cMhzyOckHdNiYinDsEvnGp85K2P0HF-MddinrGXM/edit?gid=901536474#gid=901536474"",""3812!Z2"")"),0.0)</f>
        <v>0</v>
      </c>
      <c r="D61" s="33">
        <f>IFERROR(__xludf.DUMMYFUNCTION("IMPORTRANGE(""https://docs.google.com/spreadsheets/d/1ZPIx2zimbu-1zeGuxfxkhXNgqhfTssUS5s9k5cZf2wc/edit?gid=901536474#gid=901536474"",""3812!Z2"")"),0.0)</f>
        <v>0</v>
      </c>
      <c r="E61" s="33">
        <f>IFERROR(__xludf.DUMMYFUNCTION("IMPORTRANGE(""https://docs.google.com/spreadsheets/d/1XMcMRG5YO-goaR1U_4jER5WefHmr96--8gyjWBUNI6k/edit?gid=901536474#gid=901536474"",""3812!Z2"")"),16.0)</f>
        <v>16</v>
      </c>
      <c r="F61" s="33">
        <f>IFERROR(__xludf.DUMMYFUNCTION("IMPORTRANGE(""https://docs.google.com/spreadsheets/d/1MA0wBASwppm9FIO036lHI8xvhSVH0v5HYfXfVjKbcyQ/edit?usp=drive_web&amp;ouid=100730119819154221963"",""3812!Z2"")"),0.0)</f>
        <v>0</v>
      </c>
      <c r="G61" s="33">
        <f>IFERROR(__xludf.DUMMYFUNCTION("IMPORTRANGE(""https://docs.google.com/spreadsheets/d/1D2vfyqvZrSRB3H2syxflheuiQYzNPTpGgOdgFd9uWlk/edit?gid=901536474#gid=901536474"",""3812!Z2"")"),0.0)</f>
        <v>0</v>
      </c>
      <c r="H61" s="33">
        <f>IFERROR(__xludf.DUMMYFUNCTION("IMPORTRANGE(""https://docs.google.com/spreadsheets/d/12IEdVEBjKQJvqAAWPA8r9wBGS_rRrYVNO7dHXE_rk60/edit?gid=901536474#gid=901536474"",""3812!Z2"")"),0.0)</f>
        <v>0</v>
      </c>
      <c r="I61" s="33">
        <f>IFERROR(__xludf.DUMMYFUNCTION("IMPORTRANGE(""https://docs.google.com/spreadsheets/d/1LB7ejmtgeP477BH1-F2FJlKUu_JQOyifPAyaNOOGBD0/edit?gid=901536474#gid=901536474"",""3812!Z2"")"),0.0)</f>
        <v>0</v>
      </c>
      <c r="J61" s="33">
        <f>IFERROR(__xludf.DUMMYFUNCTION("IMPORTRANGE(""https://docs.google.com/spreadsheets/d/1b2lul54I9-5u3ezeokOV5YBImAWXrqMYLSuPw_3-hIw/edit?usp=drive_web&amp;ouid=100730119819154221963"",""3812!Z2"")"),0.0)</f>
        <v>0</v>
      </c>
      <c r="K61" s="193">
        <v>28.0</v>
      </c>
      <c r="L61" s="193">
        <f t="shared" si="1"/>
        <v>28</v>
      </c>
      <c r="M61" s="41">
        <f t="shared" si="2"/>
        <v>56</v>
      </c>
      <c r="N61" s="112" t="s">
        <v>196</v>
      </c>
      <c r="O61" s="108"/>
      <c r="P61" s="108">
        <v>20.0</v>
      </c>
      <c r="Q61" s="108">
        <v>20.0</v>
      </c>
      <c r="Z61" s="7"/>
    </row>
    <row r="62">
      <c r="A62" s="43" t="s">
        <v>29</v>
      </c>
      <c r="B62" s="110" t="s">
        <v>290</v>
      </c>
      <c r="C62" s="33">
        <f>IFERROR(__xludf.DUMMYFUNCTION("IMPORTRANGE(""https://docs.google.com/spreadsheets/d/1ca8cMhzyOckHdNiYinDsEvnGp85K2P0HF-MddinrGXM/edit?gid=901536474#gid=901536474"",""3813!Z2"")"),8.0)</f>
        <v>8</v>
      </c>
      <c r="D62" s="33">
        <f>IFERROR(__xludf.DUMMYFUNCTION("IMPORTRANGE(""https://docs.google.com/spreadsheets/d/1ZPIx2zimbu-1zeGuxfxkhXNgqhfTssUS5s9k5cZf2wc/edit?gid=901536474#gid=901536474"",""3813!Z2"")"),16.0)</f>
        <v>16</v>
      </c>
      <c r="E62" s="33">
        <f>IFERROR(__xludf.DUMMYFUNCTION("IMPORTRANGE(""https://docs.google.com/spreadsheets/d/1XMcMRG5YO-goaR1U_4jER5WefHmr96--8gyjWBUNI6k/edit?gid=901536474#gid=901536474"",""3813!Z2"")"),38.0)</f>
        <v>38</v>
      </c>
      <c r="F62" s="33">
        <f>IFERROR(__xludf.DUMMYFUNCTION("IMPORTRANGE(""https://docs.google.com/spreadsheets/d/1MA0wBASwppm9FIO036lHI8xvhSVH0v5HYfXfVjKbcyQ/edit?usp=drive_web&amp;ouid=100730119819154221963"",""3813!Z2"")"),0.0)</f>
        <v>0</v>
      </c>
      <c r="G62" s="33">
        <f>IFERROR(__xludf.DUMMYFUNCTION("IMPORTRANGE(""https://docs.google.com/spreadsheets/d/1D2vfyqvZrSRB3H2syxflheuiQYzNPTpGgOdgFd9uWlk/edit?gid=901536474#gid=901536474"",""3813!Z2"")"),4.0)</f>
        <v>4</v>
      </c>
      <c r="H62" s="33">
        <f>IFERROR(__xludf.DUMMYFUNCTION("IMPORTRANGE(""https://docs.google.com/spreadsheets/d/12IEdVEBjKQJvqAAWPA8r9wBGS_rRrYVNO7dHXE_rk60/edit?gid=901536474#gid=901536474"",""3813!Z2"")"),7.0)</f>
        <v>7</v>
      </c>
      <c r="I62" s="33">
        <f>IFERROR(__xludf.DUMMYFUNCTION("IMPORTRANGE(""https://docs.google.com/spreadsheets/d/1LB7ejmtgeP477BH1-F2FJlKUu_JQOyifPAyaNOOGBD0/edit?gid=901536474#gid=901536474"",""3813!Z2"")"),0.0)</f>
        <v>0</v>
      </c>
      <c r="J62" s="33">
        <f>IFERROR(__xludf.DUMMYFUNCTION("IMPORTRANGE(""https://docs.google.com/spreadsheets/d/1b2lul54I9-5u3ezeokOV5YBImAWXrqMYLSuPw_3-hIw/edit?usp=drive_web&amp;ouid=100730119819154221963"",""3813!Z2"")"),1.0)</f>
        <v>1</v>
      </c>
      <c r="K62" s="193">
        <v>44.0</v>
      </c>
      <c r="L62" s="193">
        <f t="shared" si="1"/>
        <v>30</v>
      </c>
      <c r="M62" s="41">
        <f t="shared" si="2"/>
        <v>74</v>
      </c>
      <c r="N62" s="104"/>
      <c r="O62" s="105"/>
      <c r="P62" s="104"/>
      <c r="Q62" s="104"/>
      <c r="Z62" s="7"/>
    </row>
    <row r="63">
      <c r="A63" s="43" t="s">
        <v>29</v>
      </c>
      <c r="B63" s="110" t="s">
        <v>292</v>
      </c>
      <c r="C63" s="33">
        <f>IFERROR(__xludf.DUMMYFUNCTION("IMPORTRANGE(""https://docs.google.com/spreadsheets/d/1ca8cMhzyOckHdNiYinDsEvnGp85K2P0HF-MddinrGXM/edit?gid=901536474#gid=901536474"",""3814!Z2"")"),0.0)</f>
        <v>0</v>
      </c>
      <c r="D63" s="33">
        <f>IFERROR(__xludf.DUMMYFUNCTION("IMPORTRANGE(""https://docs.google.com/spreadsheets/d/1ZPIx2zimbu-1zeGuxfxkhXNgqhfTssUS5s9k5cZf2wc/edit?gid=901536474#gid=901536474"",""3814!Z2"")"),44.0)</f>
        <v>44</v>
      </c>
      <c r="E63" s="33">
        <f>IFERROR(__xludf.DUMMYFUNCTION("IMPORTRANGE(""https://docs.google.com/spreadsheets/d/1XMcMRG5YO-goaR1U_4jER5WefHmr96--8gyjWBUNI6k/edit?gid=901536474#gid=901536474"",""3814!Z2"")"),26.0)</f>
        <v>26</v>
      </c>
      <c r="F63" s="33">
        <f>IFERROR(__xludf.DUMMYFUNCTION("IMPORTRANGE(""https://docs.google.com/spreadsheets/d/1MA0wBASwppm9FIO036lHI8xvhSVH0v5HYfXfVjKbcyQ/edit?usp=drive_web&amp;ouid=100730119819154221963"",""3814!Z2"")"),0.0)</f>
        <v>0</v>
      </c>
      <c r="G63" s="33">
        <f>IFERROR(__xludf.DUMMYFUNCTION("IMPORTRANGE(""https://docs.google.com/spreadsheets/d/1D2vfyqvZrSRB3H2syxflheuiQYzNPTpGgOdgFd9uWlk/edit?gid=901536474#gid=901536474"",""3814!Z2"")"),0.0)</f>
        <v>0</v>
      </c>
      <c r="H63" s="33">
        <f>IFERROR(__xludf.DUMMYFUNCTION("IMPORTRANGE(""https://docs.google.com/spreadsheets/d/12IEdVEBjKQJvqAAWPA8r9wBGS_rRrYVNO7dHXE_rk60/edit?gid=901536474#gid=901536474"",""3814!Z2"")"),0.0)</f>
        <v>0</v>
      </c>
      <c r="I63" s="33">
        <f>IFERROR(__xludf.DUMMYFUNCTION("IMPORTRANGE(""https://docs.google.com/spreadsheets/d/1LB7ejmtgeP477BH1-F2FJlKUu_JQOyifPAyaNOOGBD0/edit?gid=901536474#gid=901536474"",""3814!Z2"")"),0.0)</f>
        <v>0</v>
      </c>
      <c r="J63" s="33">
        <f>IFERROR(__xludf.DUMMYFUNCTION("IMPORTRANGE(""https://docs.google.com/spreadsheets/d/1b2lul54I9-5u3ezeokOV5YBImAWXrqMYLSuPw_3-hIw/edit?usp=drive_web&amp;ouid=100730119819154221963"",""3814!Z2"")"),0.0)</f>
        <v>0</v>
      </c>
      <c r="K63" s="193">
        <v>64.0</v>
      </c>
      <c r="L63" s="193">
        <f t="shared" si="1"/>
        <v>46</v>
      </c>
      <c r="M63" s="41">
        <f t="shared" si="2"/>
        <v>110</v>
      </c>
      <c r="N63" s="44" t="s">
        <v>47</v>
      </c>
      <c r="O63" s="108"/>
      <c r="P63" s="108">
        <v>20.0</v>
      </c>
      <c r="Q63" s="108">
        <v>20.0</v>
      </c>
      <c r="Z63" s="7"/>
    </row>
    <row r="64">
      <c r="A64" s="43" t="s">
        <v>29</v>
      </c>
      <c r="B64" s="110" t="s">
        <v>294</v>
      </c>
      <c r="C64" s="33">
        <f>IFERROR(__xludf.DUMMYFUNCTION("IMPORTRANGE(""https://docs.google.com/spreadsheets/d/1ca8cMhzyOckHdNiYinDsEvnGp85K2P0HF-MddinrGXM/edit?gid=901536474#gid=901536474"",""3815!Z2"")"),0.0)</f>
        <v>0</v>
      </c>
      <c r="D64" s="33">
        <f>IFERROR(__xludf.DUMMYFUNCTION("IMPORTRANGE(""https://docs.google.com/spreadsheets/d/1ZPIx2zimbu-1zeGuxfxkhXNgqhfTssUS5s9k5cZf2wc/edit?gid=901536474#gid=901536474"",""3815!Z2"")"),44.0)</f>
        <v>44</v>
      </c>
      <c r="E64" s="33">
        <f>IFERROR(__xludf.DUMMYFUNCTION("IMPORTRANGE(""https://docs.google.com/spreadsheets/d/1XMcMRG5YO-goaR1U_4jER5WefHmr96--8gyjWBUNI6k/edit?gid=901536474#gid=901536474"",""3815!Z2"")"),26.0)</f>
        <v>26</v>
      </c>
      <c r="F64" s="33">
        <f>IFERROR(__xludf.DUMMYFUNCTION("IMPORTRANGE(""https://docs.google.com/spreadsheets/d/1MA0wBASwppm9FIO036lHI8xvhSVH0v5HYfXfVjKbcyQ/edit?usp=drive_web&amp;ouid=100730119819154221963"",""3815!Z2"")"),0.0)</f>
        <v>0</v>
      </c>
      <c r="G64" s="33">
        <f>IFERROR(__xludf.DUMMYFUNCTION("IMPORTRANGE(""https://docs.google.com/spreadsheets/d/1D2vfyqvZrSRB3H2syxflheuiQYzNPTpGgOdgFd9uWlk/edit?gid=901536474#gid=901536474"",""3815!Z2"")"),0.0)</f>
        <v>0</v>
      </c>
      <c r="H64" s="33">
        <f>IFERROR(__xludf.DUMMYFUNCTION("IMPORTRANGE(""https://docs.google.com/spreadsheets/d/12IEdVEBjKQJvqAAWPA8r9wBGS_rRrYVNO7dHXE_rk60/edit?gid=901536474#gid=901536474"",""3815!Z2"")"),0.0)</f>
        <v>0</v>
      </c>
      <c r="I64" s="33">
        <f>IFERROR(__xludf.DUMMYFUNCTION("IMPORTRANGE(""https://docs.google.com/spreadsheets/d/1LB7ejmtgeP477BH1-F2FJlKUu_JQOyifPAyaNOOGBD0/edit?gid=901536474#gid=901536474"",""3815!Z2"")"),0.0)</f>
        <v>0</v>
      </c>
      <c r="J64" s="33">
        <f>IFERROR(__xludf.DUMMYFUNCTION("IMPORTRANGE(""https://docs.google.com/spreadsheets/d/1b2lul54I9-5u3ezeokOV5YBImAWXrqMYLSuPw_3-hIw/edit?usp=drive_web&amp;ouid=100730119819154221963"",""3815!Z2"")"),0.0)</f>
        <v>0</v>
      </c>
      <c r="K64" s="193">
        <v>36.0</v>
      </c>
      <c r="L64" s="193">
        <f t="shared" si="1"/>
        <v>34</v>
      </c>
      <c r="M64" s="41">
        <f t="shared" si="2"/>
        <v>70</v>
      </c>
      <c r="N64" s="104"/>
      <c r="O64" s="105"/>
      <c r="P64" s="104"/>
      <c r="Q64" s="104"/>
      <c r="Z64" s="7"/>
    </row>
    <row r="65">
      <c r="A65" s="43" t="s">
        <v>29</v>
      </c>
      <c r="B65" s="110" t="s">
        <v>296</v>
      </c>
      <c r="C65" s="33">
        <f>IFERROR(__xludf.DUMMYFUNCTION("IMPORTRANGE(""https://docs.google.com/spreadsheets/d/1ca8cMhzyOckHdNiYinDsEvnGp85K2P0HF-MddinrGXM/edit?gid=901536474#gid=901536474"",""3816!Z2"")"),0.0)</f>
        <v>0</v>
      </c>
      <c r="D65" s="33">
        <f>IFERROR(__xludf.DUMMYFUNCTION("IMPORTRANGE(""https://docs.google.com/spreadsheets/d/1ZPIx2zimbu-1zeGuxfxkhXNgqhfTssUS5s9k5cZf2wc/edit?gid=901536474#gid=901536474"",""3816!Z2"")"),45.0)</f>
        <v>45</v>
      </c>
      <c r="E65" s="33">
        <f>IFERROR(__xludf.DUMMYFUNCTION("IMPORTRANGE(""https://docs.google.com/spreadsheets/d/1XMcMRG5YO-goaR1U_4jER5WefHmr96--8gyjWBUNI6k/edit?gid=901536474#gid=901536474"",""3816!Z2"")"),31.0)</f>
        <v>31</v>
      </c>
      <c r="F65" s="33">
        <f>IFERROR(__xludf.DUMMYFUNCTION("IMPORTRANGE(""https://docs.google.com/spreadsheets/d/1MA0wBASwppm9FIO036lHI8xvhSVH0v5HYfXfVjKbcyQ/edit?usp=drive_web&amp;ouid=100730119819154221963"",""3816!Z2"")"),0.0)</f>
        <v>0</v>
      </c>
      <c r="G65" s="33">
        <f>IFERROR(__xludf.DUMMYFUNCTION("IMPORTRANGE(""https://docs.google.com/spreadsheets/d/1D2vfyqvZrSRB3H2syxflheuiQYzNPTpGgOdgFd9uWlk/edit?gid=901536474#gid=901536474"",""3816!Z2"")"),0.0)</f>
        <v>0</v>
      </c>
      <c r="H65" s="33">
        <f>IFERROR(__xludf.DUMMYFUNCTION("IMPORTRANGE(""https://docs.google.com/spreadsheets/d/12IEdVEBjKQJvqAAWPA8r9wBGS_rRrYVNO7dHXE_rk60/edit?gid=901536474#gid=901536474"",""3816!Z2"")"),0.0)</f>
        <v>0</v>
      </c>
      <c r="I65" s="33">
        <f>IFERROR(__xludf.DUMMYFUNCTION("IMPORTRANGE(""https://docs.google.com/spreadsheets/d/1LB7ejmtgeP477BH1-F2FJlKUu_JQOyifPAyaNOOGBD0/edit?gid=901536474#gid=901536474"",""3816!Z2"")"),0.0)</f>
        <v>0</v>
      </c>
      <c r="J65" s="33">
        <f>IFERROR(__xludf.DUMMYFUNCTION("IMPORTRANGE(""https://docs.google.com/spreadsheets/d/1b2lul54I9-5u3ezeokOV5YBImAWXrqMYLSuPw_3-hIw/edit?usp=drive_web&amp;ouid=100730119819154221963"",""3816!Z2"")"),0.0)</f>
        <v>0</v>
      </c>
      <c r="K65" s="193">
        <v>36.0</v>
      </c>
      <c r="L65" s="193">
        <f t="shared" si="1"/>
        <v>40</v>
      </c>
      <c r="M65" s="41">
        <f t="shared" si="2"/>
        <v>76</v>
      </c>
      <c r="N65" s="104"/>
      <c r="O65" s="105"/>
      <c r="P65" s="104"/>
      <c r="Q65" s="104"/>
      <c r="Z65" s="7"/>
    </row>
    <row r="66">
      <c r="A66" s="79" t="s">
        <v>29</v>
      </c>
      <c r="B66" s="115" t="s">
        <v>298</v>
      </c>
      <c r="C66" s="116">
        <f>IFERROR(__xludf.DUMMYFUNCTION("IMPORTRANGE(""https://docs.google.com/spreadsheets/d/1ca8cMhzyOckHdNiYinDsEvnGp85K2P0HF-MddinrGXM/edit?gid=901536474#gid=901536474"",""3817!Z2"")"),0.0)</f>
        <v>0</v>
      </c>
      <c r="D66" s="116">
        <f>IFERROR(__xludf.DUMMYFUNCTION("IMPORTRANGE(""https://docs.google.com/spreadsheets/d/1ZPIx2zimbu-1zeGuxfxkhXNgqhfTssUS5s9k5cZf2wc/edit?gid=901536474#gid=901536474"",""3817!Z2"")"),40.0)</f>
        <v>40</v>
      </c>
      <c r="E66" s="116">
        <f>IFERROR(__xludf.DUMMYFUNCTION("IMPORTRANGE(""https://docs.google.com/spreadsheets/d/1XMcMRG5YO-goaR1U_4jER5WefHmr96--8gyjWBUNI6k/edit?gid=901536474#gid=901536474"",""3817!Z2"")"),0.0)</f>
        <v>0</v>
      </c>
      <c r="F66" s="116">
        <f>IFERROR(__xludf.DUMMYFUNCTION("IMPORTRANGE(""https://docs.google.com/spreadsheets/d/1MA0wBASwppm9FIO036lHI8xvhSVH0v5HYfXfVjKbcyQ/edit?usp=drive_web&amp;ouid=100730119819154221963"",""3817!Z2"")"),0.0)</f>
        <v>0</v>
      </c>
      <c r="G66" s="116">
        <f>IFERROR(__xludf.DUMMYFUNCTION("IMPORTRANGE(""https://docs.google.com/spreadsheets/d/1D2vfyqvZrSRB3H2syxflheuiQYzNPTpGgOdgFd9uWlk/edit?gid=901536474#gid=901536474"",""3817!Z2"")"),0.0)</f>
        <v>0</v>
      </c>
      <c r="H66" s="116">
        <f>IFERROR(__xludf.DUMMYFUNCTION("IMPORTRANGE(""https://docs.google.com/spreadsheets/d/12IEdVEBjKQJvqAAWPA8r9wBGS_rRrYVNO7dHXE_rk60/edit?gid=901536474#gid=901536474"",""3817!Z2"")"),0.0)</f>
        <v>0</v>
      </c>
      <c r="I66" s="116">
        <f>IFERROR(__xludf.DUMMYFUNCTION("IMPORTRANGE(""https://docs.google.com/spreadsheets/d/1LB7ejmtgeP477BH1-F2FJlKUu_JQOyifPAyaNOOGBD0/edit?gid=901536474#gid=901536474"",""3817!Z2"")"),0.0)</f>
        <v>0</v>
      </c>
      <c r="J66" s="116">
        <f>IFERROR(__xludf.DUMMYFUNCTION("IMPORTRANGE(""https://docs.google.com/spreadsheets/d/1b2lul54I9-5u3ezeokOV5YBImAWXrqMYLSuPw_3-hIw/edit?usp=drive_web&amp;ouid=100730119819154221963"",""3817!Z2"")"),0.0)</f>
        <v>0</v>
      </c>
      <c r="K66" s="193">
        <v>52.0</v>
      </c>
      <c r="L66" s="193">
        <f t="shared" si="1"/>
        <v>28</v>
      </c>
      <c r="M66" s="77">
        <f t="shared" si="2"/>
        <v>80</v>
      </c>
      <c r="N66" s="118" t="s">
        <v>118</v>
      </c>
      <c r="O66" s="120"/>
      <c r="P66" s="120">
        <v>20.0</v>
      </c>
      <c r="Q66" s="120">
        <v>20.0</v>
      </c>
      <c r="Z66" s="7"/>
    </row>
    <row r="67">
      <c r="Z67" s="7"/>
    </row>
    <row r="68">
      <c r="Z68" s="7"/>
    </row>
    <row r="69">
      <c r="Z69" s="7"/>
    </row>
  </sheetData>
  <mergeCells count="4">
    <mergeCell ref="B1:B2"/>
    <mergeCell ref="C1:J1"/>
    <mergeCell ref="M1:M2"/>
    <mergeCell ref="N1:N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30.63"/>
    <col customWidth="1" min="13" max="13" width="13.38"/>
    <col customWidth="1" min="14" max="14" width="14.88"/>
  </cols>
  <sheetData>
    <row r="1">
      <c r="A1" s="43"/>
      <c r="B1" s="10" t="s">
        <v>4</v>
      </c>
      <c r="C1" s="11" t="s">
        <v>5</v>
      </c>
      <c r="D1" s="3"/>
      <c r="E1" s="3"/>
      <c r="F1" s="3"/>
      <c r="G1" s="3"/>
      <c r="H1" s="3"/>
      <c r="I1" s="3"/>
      <c r="J1" s="4"/>
      <c r="K1" s="190"/>
      <c r="L1" s="190"/>
      <c r="M1" s="213" t="s">
        <v>561</v>
      </c>
      <c r="N1" s="13" t="s">
        <v>7</v>
      </c>
    </row>
    <row r="2">
      <c r="A2" s="43"/>
      <c r="B2" s="19"/>
      <c r="C2" s="20" t="s">
        <v>16</v>
      </c>
      <c r="D2" s="14" t="s">
        <v>17</v>
      </c>
      <c r="E2" s="14" t="s">
        <v>18</v>
      </c>
      <c r="F2" s="14" t="s">
        <v>19</v>
      </c>
      <c r="G2" s="14" t="s">
        <v>20</v>
      </c>
      <c r="H2" s="14" t="s">
        <v>21</v>
      </c>
      <c r="I2" s="14" t="s">
        <v>22</v>
      </c>
      <c r="J2" s="14" t="s">
        <v>23</v>
      </c>
      <c r="K2" s="191" t="s">
        <v>557</v>
      </c>
      <c r="L2" s="191" t="s">
        <v>558</v>
      </c>
      <c r="M2" s="19"/>
      <c r="N2" s="19"/>
    </row>
    <row r="3">
      <c r="A3" s="43" t="s">
        <v>29</v>
      </c>
      <c r="B3" s="92" t="s">
        <v>171</v>
      </c>
      <c r="C3" s="33">
        <v>0.0</v>
      </c>
      <c r="D3" s="33">
        <v>37.0</v>
      </c>
      <c r="E3" s="33">
        <v>100.0</v>
      </c>
      <c r="F3" s="33">
        <v>0.0</v>
      </c>
      <c r="G3" s="33">
        <v>0.0</v>
      </c>
      <c r="H3" s="33">
        <v>0.0</v>
      </c>
      <c r="I3" s="33">
        <v>0.0</v>
      </c>
      <c r="J3" s="33">
        <v>0.0</v>
      </c>
      <c r="K3" s="193">
        <v>59.0</v>
      </c>
      <c r="L3" s="193">
        <v>78.0</v>
      </c>
      <c r="M3" s="24">
        <v>137.0</v>
      </c>
      <c r="N3" s="94"/>
    </row>
    <row r="4">
      <c r="A4" s="100" t="s">
        <v>29</v>
      </c>
      <c r="B4" s="101" t="s">
        <v>173</v>
      </c>
      <c r="C4" s="194">
        <v>0.0</v>
      </c>
      <c r="D4" s="194">
        <v>40.0</v>
      </c>
      <c r="E4" s="194">
        <v>55.0</v>
      </c>
      <c r="F4" s="194">
        <v>0.0</v>
      </c>
      <c r="G4" s="194">
        <v>0.0</v>
      </c>
      <c r="H4" s="194">
        <v>0.0</v>
      </c>
      <c r="I4" s="194">
        <v>0.0</v>
      </c>
      <c r="J4" s="194">
        <v>0.0</v>
      </c>
      <c r="K4" s="195">
        <v>54.0</v>
      </c>
      <c r="L4" s="195">
        <v>41.0</v>
      </c>
      <c r="M4" s="103">
        <v>95.0</v>
      </c>
      <c r="N4" s="196"/>
    </row>
    <row r="5">
      <c r="A5" s="43" t="s">
        <v>29</v>
      </c>
      <c r="B5" s="107" t="s">
        <v>175</v>
      </c>
      <c r="C5" s="33">
        <v>0.0</v>
      </c>
      <c r="D5" s="33">
        <v>28.0</v>
      </c>
      <c r="E5" s="33">
        <v>30.0</v>
      </c>
      <c r="F5" s="33">
        <v>0.0</v>
      </c>
      <c r="G5" s="33">
        <v>0.0</v>
      </c>
      <c r="H5" s="33">
        <v>0.0</v>
      </c>
      <c r="I5" s="33">
        <v>0.0</v>
      </c>
      <c r="J5" s="33">
        <v>0.0</v>
      </c>
      <c r="K5" s="193">
        <v>44.0</v>
      </c>
      <c r="L5" s="193">
        <v>54.0</v>
      </c>
      <c r="M5" s="41">
        <v>98.0</v>
      </c>
      <c r="N5" s="44" t="s">
        <v>42</v>
      </c>
    </row>
    <row r="6">
      <c r="A6" s="43" t="s">
        <v>29</v>
      </c>
      <c r="B6" s="110" t="s">
        <v>177</v>
      </c>
      <c r="C6" s="33">
        <v>0.0</v>
      </c>
      <c r="D6" s="33">
        <v>33.0</v>
      </c>
      <c r="E6" s="33">
        <v>83.0</v>
      </c>
      <c r="F6" s="33">
        <v>0.0</v>
      </c>
      <c r="G6" s="33">
        <v>0.0</v>
      </c>
      <c r="H6" s="33">
        <v>0.0</v>
      </c>
      <c r="I6" s="33">
        <v>0.0</v>
      </c>
      <c r="J6" s="33">
        <v>0.0</v>
      </c>
      <c r="K6" s="193">
        <v>55.0</v>
      </c>
      <c r="L6" s="193">
        <v>61.0</v>
      </c>
      <c r="M6" s="41">
        <v>116.0</v>
      </c>
      <c r="N6" s="104"/>
    </row>
    <row r="7">
      <c r="A7" s="43" t="s">
        <v>29</v>
      </c>
      <c r="B7" s="110" t="s">
        <v>179</v>
      </c>
      <c r="C7" s="33">
        <v>8.0</v>
      </c>
      <c r="D7" s="33">
        <v>24.0</v>
      </c>
      <c r="E7" s="33">
        <v>18.0</v>
      </c>
      <c r="F7" s="33">
        <v>0.0</v>
      </c>
      <c r="G7" s="33">
        <v>4.0</v>
      </c>
      <c r="H7" s="33">
        <v>0.0</v>
      </c>
      <c r="I7" s="33">
        <v>0.0</v>
      </c>
      <c r="J7" s="33">
        <v>0.0</v>
      </c>
      <c r="K7" s="193">
        <v>28.0</v>
      </c>
      <c r="L7" s="193">
        <v>26.0</v>
      </c>
      <c r="M7" s="41">
        <v>54.0</v>
      </c>
      <c r="N7" s="104"/>
    </row>
    <row r="8">
      <c r="A8" s="43" t="s">
        <v>29</v>
      </c>
      <c r="B8" s="110" t="s">
        <v>181</v>
      </c>
      <c r="C8" s="33">
        <v>0.0</v>
      </c>
      <c r="D8" s="33">
        <v>8.0</v>
      </c>
      <c r="E8" s="33">
        <v>88.0</v>
      </c>
      <c r="F8" s="33">
        <v>0.0</v>
      </c>
      <c r="G8" s="33">
        <v>0.0</v>
      </c>
      <c r="H8" s="33">
        <v>0.0</v>
      </c>
      <c r="I8" s="33">
        <v>0.0</v>
      </c>
      <c r="J8" s="33">
        <v>0.0</v>
      </c>
      <c r="K8" s="193">
        <v>40.0</v>
      </c>
      <c r="L8" s="193">
        <v>96.0</v>
      </c>
      <c r="M8" s="41">
        <v>136.0</v>
      </c>
      <c r="N8" s="44" t="s">
        <v>42</v>
      </c>
    </row>
    <row r="9">
      <c r="A9" s="43" t="s">
        <v>29</v>
      </c>
      <c r="B9" s="110" t="s">
        <v>183</v>
      </c>
      <c r="C9" s="33">
        <v>0.0</v>
      </c>
      <c r="D9" s="33">
        <v>52.0</v>
      </c>
      <c r="E9" s="33">
        <v>50.0</v>
      </c>
      <c r="F9" s="33">
        <v>0.0</v>
      </c>
      <c r="G9" s="33">
        <v>0.0</v>
      </c>
      <c r="H9" s="33">
        <v>0.0</v>
      </c>
      <c r="I9" s="33">
        <v>0.0</v>
      </c>
      <c r="J9" s="33">
        <v>0.0</v>
      </c>
      <c r="K9" s="193">
        <v>54.0</v>
      </c>
      <c r="L9" s="193">
        <v>48.0</v>
      </c>
      <c r="M9" s="41">
        <v>102.0</v>
      </c>
      <c r="N9" s="104"/>
    </row>
    <row r="10">
      <c r="A10" s="100" t="s">
        <v>29</v>
      </c>
      <c r="B10" s="111" t="s">
        <v>185</v>
      </c>
      <c r="C10" s="194">
        <v>0.0</v>
      </c>
      <c r="D10" s="194">
        <v>28.0</v>
      </c>
      <c r="E10" s="194">
        <v>19.0</v>
      </c>
      <c r="F10" s="194">
        <v>0.0</v>
      </c>
      <c r="G10" s="194">
        <v>0.0</v>
      </c>
      <c r="H10" s="194">
        <v>2.0</v>
      </c>
      <c r="I10" s="194">
        <v>0.0</v>
      </c>
      <c r="J10" s="194">
        <v>3.0</v>
      </c>
      <c r="K10" s="195">
        <v>25.0</v>
      </c>
      <c r="L10" s="195">
        <v>27.0</v>
      </c>
      <c r="M10" s="103">
        <v>52.0</v>
      </c>
      <c r="N10" s="196"/>
    </row>
    <row r="11">
      <c r="A11" s="43" t="s">
        <v>29</v>
      </c>
      <c r="B11" s="110" t="s">
        <v>187</v>
      </c>
      <c r="C11" s="33">
        <v>8.0</v>
      </c>
      <c r="D11" s="33">
        <v>24.0</v>
      </c>
      <c r="E11" s="33">
        <v>35.0</v>
      </c>
      <c r="F11" s="33">
        <v>0.0</v>
      </c>
      <c r="G11" s="33">
        <v>0.0</v>
      </c>
      <c r="H11" s="33">
        <v>0.0</v>
      </c>
      <c r="I11" s="33">
        <v>0.0</v>
      </c>
      <c r="J11" s="33">
        <v>0.0</v>
      </c>
      <c r="K11" s="193">
        <v>50.0</v>
      </c>
      <c r="L11" s="193">
        <v>57.0</v>
      </c>
      <c r="M11" s="41">
        <v>107.0</v>
      </c>
      <c r="N11" s="44" t="s">
        <v>34</v>
      </c>
    </row>
    <row r="12">
      <c r="A12" s="43" t="s">
        <v>29</v>
      </c>
      <c r="B12" s="110" t="s">
        <v>189</v>
      </c>
      <c r="C12" s="33">
        <v>0.0</v>
      </c>
      <c r="D12" s="33">
        <v>32.0</v>
      </c>
      <c r="E12" s="33">
        <v>18.0</v>
      </c>
      <c r="F12" s="33">
        <v>0.0</v>
      </c>
      <c r="G12" s="33">
        <v>0.0</v>
      </c>
      <c r="H12" s="33">
        <v>0.0</v>
      </c>
      <c r="I12" s="33">
        <v>0.0</v>
      </c>
      <c r="J12" s="33">
        <v>1.0</v>
      </c>
      <c r="K12" s="193">
        <v>25.0</v>
      </c>
      <c r="L12" s="193">
        <v>26.0</v>
      </c>
      <c r="M12" s="41">
        <v>51.0</v>
      </c>
      <c r="N12" s="104"/>
    </row>
    <row r="13">
      <c r="A13" s="100" t="s">
        <v>29</v>
      </c>
      <c r="B13" s="111" t="s">
        <v>191</v>
      </c>
      <c r="C13" s="194">
        <v>8.0</v>
      </c>
      <c r="D13" s="194">
        <v>80.0</v>
      </c>
      <c r="E13" s="194">
        <v>18.0</v>
      </c>
      <c r="F13" s="194">
        <v>0.0</v>
      </c>
      <c r="G13" s="194">
        <v>0.0</v>
      </c>
      <c r="H13" s="194">
        <v>0.0</v>
      </c>
      <c r="I13" s="194">
        <v>6.0</v>
      </c>
      <c r="J13" s="194">
        <v>2.0</v>
      </c>
      <c r="K13" s="195">
        <v>82.0</v>
      </c>
      <c r="L13" s="195">
        <v>32.0</v>
      </c>
      <c r="M13" s="103">
        <v>114.0</v>
      </c>
      <c r="N13" s="196"/>
    </row>
    <row r="14">
      <c r="A14" s="100" t="s">
        <v>29</v>
      </c>
      <c r="B14" s="111" t="s">
        <v>193</v>
      </c>
      <c r="C14" s="194">
        <v>0.0</v>
      </c>
      <c r="D14" s="194">
        <v>0.0</v>
      </c>
      <c r="E14" s="194">
        <v>28.0</v>
      </c>
      <c r="F14" s="194">
        <v>0.0</v>
      </c>
      <c r="G14" s="194">
        <v>0.0</v>
      </c>
      <c r="H14" s="194">
        <v>0.0</v>
      </c>
      <c r="I14" s="194">
        <v>0.0</v>
      </c>
      <c r="J14" s="194">
        <v>0.0</v>
      </c>
      <c r="K14" s="195">
        <v>40.0</v>
      </c>
      <c r="L14" s="195">
        <v>28.0</v>
      </c>
      <c r="M14" s="103">
        <v>68.0</v>
      </c>
      <c r="N14" s="201" t="s">
        <v>34</v>
      </c>
    </row>
    <row r="15">
      <c r="A15" s="43" t="s">
        <v>29</v>
      </c>
      <c r="B15" s="110" t="s">
        <v>195</v>
      </c>
      <c r="C15" s="33">
        <v>0.0</v>
      </c>
      <c r="D15" s="33">
        <v>60.0</v>
      </c>
      <c r="E15" s="33">
        <v>46.0</v>
      </c>
      <c r="F15" s="33">
        <v>0.0</v>
      </c>
      <c r="G15" s="33">
        <v>0.0</v>
      </c>
      <c r="H15" s="33">
        <v>0.0</v>
      </c>
      <c r="I15" s="33">
        <v>0.0</v>
      </c>
      <c r="J15" s="33">
        <v>2.0</v>
      </c>
      <c r="K15" s="193">
        <v>66.0</v>
      </c>
      <c r="L15" s="193">
        <v>82.0</v>
      </c>
      <c r="M15" s="41">
        <v>148.0</v>
      </c>
      <c r="N15" s="112" t="s">
        <v>196</v>
      </c>
    </row>
    <row r="16">
      <c r="A16" s="43" t="s">
        <v>29</v>
      </c>
      <c r="B16" s="110" t="s">
        <v>198</v>
      </c>
      <c r="C16" s="33">
        <v>0.0</v>
      </c>
      <c r="D16" s="33">
        <v>28.0</v>
      </c>
      <c r="E16" s="33">
        <v>45.0</v>
      </c>
      <c r="F16" s="33">
        <v>0.0</v>
      </c>
      <c r="G16" s="33">
        <v>0.0</v>
      </c>
      <c r="H16" s="33">
        <v>0.0</v>
      </c>
      <c r="I16" s="33">
        <v>0.0</v>
      </c>
      <c r="J16" s="33">
        <v>0.0</v>
      </c>
      <c r="K16" s="193">
        <v>40.0</v>
      </c>
      <c r="L16" s="193">
        <v>33.0</v>
      </c>
      <c r="M16" s="41">
        <v>73.0</v>
      </c>
      <c r="N16" s="104"/>
    </row>
    <row r="17">
      <c r="A17" s="43" t="s">
        <v>29</v>
      </c>
      <c r="B17" s="110" t="s">
        <v>200</v>
      </c>
      <c r="C17" s="33">
        <v>0.0</v>
      </c>
      <c r="D17" s="33">
        <v>28.0</v>
      </c>
      <c r="E17" s="33">
        <v>16.0</v>
      </c>
      <c r="F17" s="33">
        <v>0.0</v>
      </c>
      <c r="G17" s="33">
        <v>0.0</v>
      </c>
      <c r="H17" s="33">
        <v>0.0</v>
      </c>
      <c r="I17" s="33">
        <v>0.0</v>
      </c>
      <c r="J17" s="33">
        <v>0.0</v>
      </c>
      <c r="K17" s="193">
        <v>40.0</v>
      </c>
      <c r="L17" s="193">
        <v>44.0</v>
      </c>
      <c r="M17" s="41">
        <v>84.0</v>
      </c>
      <c r="N17" s="44" t="s">
        <v>34</v>
      </c>
    </row>
    <row r="18">
      <c r="A18" s="43" t="s">
        <v>29</v>
      </c>
      <c r="B18" s="110" t="s">
        <v>202</v>
      </c>
      <c r="C18" s="33">
        <v>8.0</v>
      </c>
      <c r="D18" s="33">
        <v>64.0</v>
      </c>
      <c r="E18" s="33">
        <v>27.0</v>
      </c>
      <c r="F18" s="33">
        <v>0.0</v>
      </c>
      <c r="G18" s="33">
        <v>0.0</v>
      </c>
      <c r="H18" s="33">
        <v>0.0</v>
      </c>
      <c r="I18" s="33">
        <v>0.0</v>
      </c>
      <c r="J18" s="33">
        <v>0.0</v>
      </c>
      <c r="K18" s="193">
        <v>48.0</v>
      </c>
      <c r="L18" s="193">
        <v>51.0</v>
      </c>
      <c r="M18" s="41">
        <v>99.0</v>
      </c>
      <c r="N18" s="104"/>
    </row>
    <row r="19">
      <c r="A19" s="43" t="s">
        <v>29</v>
      </c>
      <c r="B19" s="110" t="s">
        <v>204</v>
      </c>
      <c r="C19" s="33">
        <v>0.0</v>
      </c>
      <c r="D19" s="33">
        <v>16.0</v>
      </c>
      <c r="E19" s="33">
        <v>21.0</v>
      </c>
      <c r="F19" s="33">
        <v>0.0</v>
      </c>
      <c r="G19" s="33">
        <v>4.0</v>
      </c>
      <c r="H19" s="33">
        <v>0.0</v>
      </c>
      <c r="I19" s="33">
        <v>0.0</v>
      </c>
      <c r="J19" s="33">
        <v>0.0</v>
      </c>
      <c r="K19" s="193">
        <v>40.0</v>
      </c>
      <c r="L19" s="193">
        <v>41.0</v>
      </c>
      <c r="M19" s="41">
        <v>81.0</v>
      </c>
      <c r="N19" s="44" t="s">
        <v>196</v>
      </c>
    </row>
    <row r="20">
      <c r="A20" s="100" t="s">
        <v>29</v>
      </c>
      <c r="B20" s="111" t="s">
        <v>206</v>
      </c>
      <c r="C20" s="194">
        <v>0.0</v>
      </c>
      <c r="D20" s="194">
        <v>113.0</v>
      </c>
      <c r="E20" s="194">
        <v>65.0</v>
      </c>
      <c r="F20" s="194">
        <v>0.0</v>
      </c>
      <c r="G20" s="194">
        <v>0.0</v>
      </c>
      <c r="H20" s="194">
        <v>0.0</v>
      </c>
      <c r="I20" s="194">
        <v>0.0</v>
      </c>
      <c r="J20" s="194">
        <v>0.0</v>
      </c>
      <c r="K20" s="195">
        <v>107.0</v>
      </c>
      <c r="L20" s="195">
        <v>71.0</v>
      </c>
      <c r="M20" s="103">
        <v>178.0</v>
      </c>
      <c r="N20" s="196"/>
    </row>
    <row r="21">
      <c r="A21" s="43" t="s">
        <v>29</v>
      </c>
      <c r="B21" s="110" t="s">
        <v>208</v>
      </c>
      <c r="C21" s="33">
        <v>0.0</v>
      </c>
      <c r="D21" s="33">
        <v>68.0</v>
      </c>
      <c r="E21" s="33">
        <v>7.0</v>
      </c>
      <c r="F21" s="33">
        <v>0.0</v>
      </c>
      <c r="G21" s="33">
        <v>0.0</v>
      </c>
      <c r="H21" s="33">
        <v>0.0</v>
      </c>
      <c r="I21" s="33">
        <v>0.0</v>
      </c>
      <c r="J21" s="33">
        <v>2.0</v>
      </c>
      <c r="K21" s="193">
        <v>46.0</v>
      </c>
      <c r="L21" s="193">
        <v>31.0</v>
      </c>
      <c r="M21" s="41">
        <v>77.0</v>
      </c>
      <c r="N21" s="104"/>
    </row>
    <row r="22">
      <c r="A22" s="43" t="s">
        <v>29</v>
      </c>
      <c r="B22" s="110" t="s">
        <v>210</v>
      </c>
      <c r="C22" s="33">
        <v>16.0</v>
      </c>
      <c r="D22" s="33">
        <v>49.0</v>
      </c>
      <c r="E22" s="33">
        <v>73.0</v>
      </c>
      <c r="F22" s="33">
        <v>0.0</v>
      </c>
      <c r="G22" s="33">
        <v>0.0</v>
      </c>
      <c r="H22" s="33">
        <v>0.0</v>
      </c>
      <c r="I22" s="33">
        <v>0.0</v>
      </c>
      <c r="J22" s="33">
        <v>0.0</v>
      </c>
      <c r="K22" s="193">
        <v>53.0</v>
      </c>
      <c r="L22" s="193">
        <v>85.0</v>
      </c>
      <c r="M22" s="41">
        <v>138.0</v>
      </c>
      <c r="N22" s="104"/>
    </row>
    <row r="23">
      <c r="A23" s="43" t="s">
        <v>29</v>
      </c>
      <c r="B23" s="110" t="s">
        <v>212</v>
      </c>
      <c r="C23" s="33">
        <v>0.0</v>
      </c>
      <c r="D23" s="33">
        <v>48.0</v>
      </c>
      <c r="E23" s="33">
        <v>23.0</v>
      </c>
      <c r="F23" s="33">
        <v>0.0</v>
      </c>
      <c r="G23" s="33">
        <v>0.0</v>
      </c>
      <c r="H23" s="33">
        <v>0.0</v>
      </c>
      <c r="I23" s="33">
        <v>0.0</v>
      </c>
      <c r="J23" s="33">
        <v>0.0</v>
      </c>
      <c r="K23" s="193">
        <v>40.0</v>
      </c>
      <c r="L23" s="193">
        <v>31.0</v>
      </c>
      <c r="M23" s="41">
        <v>71.0</v>
      </c>
      <c r="N23" s="104"/>
    </row>
    <row r="24">
      <c r="A24" s="203" t="s">
        <v>29</v>
      </c>
      <c r="B24" s="204" t="s">
        <v>214</v>
      </c>
      <c r="C24" s="205">
        <v>0.0</v>
      </c>
      <c r="D24" s="205">
        <v>0.0</v>
      </c>
      <c r="E24" s="205">
        <v>0.0</v>
      </c>
      <c r="F24" s="205">
        <v>0.0</v>
      </c>
      <c r="G24" s="205">
        <v>0.0</v>
      </c>
      <c r="H24" s="205">
        <v>0.0</v>
      </c>
      <c r="I24" s="205">
        <v>0.0</v>
      </c>
      <c r="J24" s="205">
        <v>0.0</v>
      </c>
      <c r="K24" s="206">
        <v>0.0</v>
      </c>
      <c r="L24" s="206">
        <v>0.0</v>
      </c>
      <c r="M24" s="207">
        <v>0.0</v>
      </c>
      <c r="N24" s="208" t="s">
        <v>47</v>
      </c>
    </row>
    <row r="25">
      <c r="A25" s="43" t="s">
        <v>29</v>
      </c>
      <c r="B25" s="110" t="s">
        <v>216</v>
      </c>
      <c r="C25" s="33">
        <v>16.0</v>
      </c>
      <c r="D25" s="33">
        <v>28.0</v>
      </c>
      <c r="E25" s="33">
        <v>15.0</v>
      </c>
      <c r="F25" s="33">
        <v>0.0</v>
      </c>
      <c r="G25" s="33">
        <v>0.0</v>
      </c>
      <c r="H25" s="33">
        <v>0.0</v>
      </c>
      <c r="I25" s="33">
        <v>0.0</v>
      </c>
      <c r="J25" s="33">
        <v>0.0</v>
      </c>
      <c r="K25" s="193">
        <v>48.0</v>
      </c>
      <c r="L25" s="193">
        <v>51.0</v>
      </c>
      <c r="M25" s="41">
        <v>99.0</v>
      </c>
      <c r="N25" s="44" t="s">
        <v>118</v>
      </c>
    </row>
    <row r="26">
      <c r="A26" s="43" t="s">
        <v>29</v>
      </c>
      <c r="B26" s="110" t="s">
        <v>218</v>
      </c>
      <c r="C26" s="33">
        <v>16.0</v>
      </c>
      <c r="D26" s="33">
        <v>24.0</v>
      </c>
      <c r="E26" s="33">
        <v>34.0</v>
      </c>
      <c r="F26" s="33">
        <v>0.0</v>
      </c>
      <c r="G26" s="33">
        <v>8.0</v>
      </c>
      <c r="H26" s="33">
        <v>2.0</v>
      </c>
      <c r="I26" s="33">
        <v>0.0</v>
      </c>
      <c r="J26" s="33">
        <v>1.0</v>
      </c>
      <c r="K26" s="193">
        <v>27.0</v>
      </c>
      <c r="L26" s="193">
        <v>58.0</v>
      </c>
      <c r="M26" s="41">
        <v>85.0</v>
      </c>
      <c r="N26" s="104"/>
    </row>
    <row r="27">
      <c r="A27" s="43" t="s">
        <v>29</v>
      </c>
      <c r="B27" s="110" t="s">
        <v>220</v>
      </c>
      <c r="C27" s="33">
        <v>8.0</v>
      </c>
      <c r="D27" s="33">
        <v>40.0</v>
      </c>
      <c r="E27" s="33">
        <v>12.0</v>
      </c>
      <c r="F27" s="33">
        <v>0.0</v>
      </c>
      <c r="G27" s="33">
        <v>0.0</v>
      </c>
      <c r="H27" s="33">
        <v>0.0</v>
      </c>
      <c r="I27" s="33">
        <v>0.0</v>
      </c>
      <c r="J27" s="33">
        <v>0.0</v>
      </c>
      <c r="K27" s="193">
        <v>32.0</v>
      </c>
      <c r="L27" s="193">
        <v>28.0</v>
      </c>
      <c r="M27" s="41">
        <v>60.0</v>
      </c>
      <c r="N27" s="104"/>
    </row>
    <row r="28">
      <c r="A28" s="43" t="s">
        <v>29</v>
      </c>
      <c r="B28" s="110" t="s">
        <v>222</v>
      </c>
      <c r="C28" s="33">
        <v>8.0</v>
      </c>
      <c r="D28" s="33">
        <v>36.0</v>
      </c>
      <c r="E28" s="33">
        <v>16.0</v>
      </c>
      <c r="F28" s="33">
        <v>0.0</v>
      </c>
      <c r="G28" s="33">
        <v>4.0</v>
      </c>
      <c r="H28" s="33">
        <v>0.0</v>
      </c>
      <c r="I28" s="33">
        <v>0.0</v>
      </c>
      <c r="J28" s="33">
        <v>1.0</v>
      </c>
      <c r="K28" s="193">
        <v>25.0</v>
      </c>
      <c r="L28" s="193">
        <v>40.0</v>
      </c>
      <c r="M28" s="41">
        <v>65.0</v>
      </c>
      <c r="N28" s="104"/>
    </row>
    <row r="29">
      <c r="A29" s="43" t="s">
        <v>29</v>
      </c>
      <c r="B29" s="110" t="s">
        <v>224</v>
      </c>
      <c r="C29" s="33">
        <v>0.0</v>
      </c>
      <c r="D29" s="33">
        <v>24.0</v>
      </c>
      <c r="E29" s="33">
        <v>73.0</v>
      </c>
      <c r="F29" s="33">
        <v>0.0</v>
      </c>
      <c r="G29" s="33">
        <v>0.0</v>
      </c>
      <c r="H29" s="33">
        <v>0.0</v>
      </c>
      <c r="I29" s="33">
        <v>0.0</v>
      </c>
      <c r="J29" s="33">
        <v>0.0</v>
      </c>
      <c r="K29" s="193">
        <v>36.0</v>
      </c>
      <c r="L29" s="193">
        <v>61.0</v>
      </c>
      <c r="M29" s="41">
        <v>97.0</v>
      </c>
      <c r="N29" s="104"/>
    </row>
    <row r="30">
      <c r="A30" s="43" t="s">
        <v>29</v>
      </c>
      <c r="B30" s="110" t="s">
        <v>226</v>
      </c>
      <c r="C30" s="33">
        <v>0.0</v>
      </c>
      <c r="D30" s="33">
        <v>32.0</v>
      </c>
      <c r="E30" s="33">
        <v>30.0</v>
      </c>
      <c r="F30" s="33">
        <v>0.0</v>
      </c>
      <c r="G30" s="33">
        <v>0.0</v>
      </c>
      <c r="H30" s="33">
        <v>0.0</v>
      </c>
      <c r="I30" s="33">
        <v>0.0</v>
      </c>
      <c r="J30" s="33">
        <v>0.0</v>
      </c>
      <c r="K30" s="193">
        <v>32.0</v>
      </c>
      <c r="L30" s="193">
        <v>30.0</v>
      </c>
      <c r="M30" s="41">
        <v>62.0</v>
      </c>
      <c r="N30" s="104"/>
    </row>
    <row r="31">
      <c r="A31" s="43" t="s">
        <v>29</v>
      </c>
      <c r="B31" s="110" t="s">
        <v>228</v>
      </c>
      <c r="C31" s="33">
        <v>8.0</v>
      </c>
      <c r="D31" s="33">
        <v>32.0</v>
      </c>
      <c r="E31" s="33">
        <v>27.0</v>
      </c>
      <c r="F31" s="33">
        <v>0.0</v>
      </c>
      <c r="G31" s="33">
        <v>0.0</v>
      </c>
      <c r="H31" s="33">
        <v>0.0</v>
      </c>
      <c r="I31" s="33">
        <v>0.0</v>
      </c>
      <c r="J31" s="33">
        <v>0.0</v>
      </c>
      <c r="K31" s="193">
        <v>32.0</v>
      </c>
      <c r="L31" s="193">
        <v>35.0</v>
      </c>
      <c r="M31" s="41">
        <v>67.0</v>
      </c>
      <c r="N31" s="104"/>
    </row>
    <row r="32">
      <c r="A32" s="43" t="s">
        <v>29</v>
      </c>
      <c r="B32" s="110" t="s">
        <v>230</v>
      </c>
      <c r="C32" s="33">
        <v>0.0</v>
      </c>
      <c r="D32" s="33">
        <v>12.0</v>
      </c>
      <c r="E32" s="33">
        <v>12.0</v>
      </c>
      <c r="F32" s="33">
        <v>0.0</v>
      </c>
      <c r="G32" s="33">
        <v>10.0</v>
      </c>
      <c r="H32" s="33">
        <v>0.0</v>
      </c>
      <c r="I32" s="33">
        <v>0.0</v>
      </c>
      <c r="J32" s="33">
        <v>0.0</v>
      </c>
      <c r="K32" s="193">
        <v>33.0</v>
      </c>
      <c r="L32" s="193">
        <v>41.0</v>
      </c>
      <c r="M32" s="41">
        <v>74.0</v>
      </c>
      <c r="N32" s="44" t="s">
        <v>196</v>
      </c>
    </row>
    <row r="33">
      <c r="A33" s="43" t="s">
        <v>29</v>
      </c>
      <c r="B33" s="110" t="s">
        <v>232</v>
      </c>
      <c r="C33" s="33">
        <v>0.0</v>
      </c>
      <c r="D33" s="33">
        <v>32.0</v>
      </c>
      <c r="E33" s="33">
        <v>21.0</v>
      </c>
      <c r="F33" s="33">
        <v>0.0</v>
      </c>
      <c r="G33" s="33">
        <v>0.0</v>
      </c>
      <c r="H33" s="33">
        <v>0.0</v>
      </c>
      <c r="I33" s="33">
        <v>0.0</v>
      </c>
      <c r="J33" s="33">
        <v>0.0</v>
      </c>
      <c r="K33" s="193">
        <v>28.0</v>
      </c>
      <c r="L33" s="193">
        <v>25.0</v>
      </c>
      <c r="M33" s="41">
        <v>53.0</v>
      </c>
      <c r="N33" s="104"/>
    </row>
    <row r="34">
      <c r="A34" s="43" t="s">
        <v>29</v>
      </c>
      <c r="B34" s="110" t="s">
        <v>234</v>
      </c>
      <c r="C34" s="33">
        <v>0.0</v>
      </c>
      <c r="D34" s="33">
        <v>56.0</v>
      </c>
      <c r="E34" s="33">
        <v>18.0</v>
      </c>
      <c r="F34" s="33">
        <v>0.0</v>
      </c>
      <c r="G34" s="33">
        <v>0.0</v>
      </c>
      <c r="H34" s="33">
        <v>0.0</v>
      </c>
      <c r="I34" s="33">
        <v>0.0</v>
      </c>
      <c r="J34" s="33">
        <v>0.0</v>
      </c>
      <c r="K34" s="193">
        <v>60.0</v>
      </c>
      <c r="L34" s="193">
        <v>54.0</v>
      </c>
      <c r="M34" s="41">
        <v>114.0</v>
      </c>
      <c r="N34" s="112" t="s">
        <v>118</v>
      </c>
    </row>
    <row r="35">
      <c r="A35" s="43" t="s">
        <v>29</v>
      </c>
      <c r="B35" s="110" t="s">
        <v>236</v>
      </c>
      <c r="C35" s="33">
        <v>0.0</v>
      </c>
      <c r="D35" s="33">
        <v>48.0</v>
      </c>
      <c r="E35" s="33">
        <v>26.0</v>
      </c>
      <c r="F35" s="33">
        <v>0.0</v>
      </c>
      <c r="G35" s="33">
        <v>0.0</v>
      </c>
      <c r="H35" s="33">
        <v>0.0</v>
      </c>
      <c r="I35" s="33">
        <v>0.0</v>
      </c>
      <c r="J35" s="33">
        <v>1.0</v>
      </c>
      <c r="K35" s="193">
        <v>45.0</v>
      </c>
      <c r="L35" s="193">
        <v>30.0</v>
      </c>
      <c r="M35" s="41">
        <v>75.0</v>
      </c>
      <c r="N35" s="104"/>
    </row>
    <row r="36">
      <c r="A36" s="43" t="s">
        <v>29</v>
      </c>
      <c r="B36" s="110" t="s">
        <v>238</v>
      </c>
      <c r="C36" s="33">
        <v>0.0</v>
      </c>
      <c r="D36" s="33">
        <v>34.0</v>
      </c>
      <c r="E36" s="33">
        <v>36.0</v>
      </c>
      <c r="F36" s="33">
        <v>0.0</v>
      </c>
      <c r="G36" s="33">
        <v>4.0</v>
      </c>
      <c r="H36" s="33">
        <v>0.0</v>
      </c>
      <c r="I36" s="33">
        <v>0.0</v>
      </c>
      <c r="J36" s="33">
        <v>0.0</v>
      </c>
      <c r="K36" s="193">
        <v>62.0</v>
      </c>
      <c r="L36" s="193">
        <v>52.0</v>
      </c>
      <c r="M36" s="41">
        <v>114.0</v>
      </c>
      <c r="N36" s="44" t="s">
        <v>42</v>
      </c>
    </row>
    <row r="37">
      <c r="A37" s="43" t="s">
        <v>29</v>
      </c>
      <c r="B37" s="110" t="s">
        <v>240</v>
      </c>
      <c r="C37" s="33">
        <v>0.0</v>
      </c>
      <c r="D37" s="33">
        <v>16.0</v>
      </c>
      <c r="E37" s="33">
        <v>105.0</v>
      </c>
      <c r="F37" s="33">
        <v>0.0</v>
      </c>
      <c r="G37" s="33">
        <v>0.0</v>
      </c>
      <c r="H37" s="33">
        <v>0.0</v>
      </c>
      <c r="I37" s="33">
        <v>0.0</v>
      </c>
      <c r="J37" s="33">
        <v>0.0</v>
      </c>
      <c r="K37" s="193">
        <v>80.0</v>
      </c>
      <c r="L37" s="193">
        <v>41.0</v>
      </c>
      <c r="M37" s="41">
        <v>121.0</v>
      </c>
      <c r="N37" s="104"/>
    </row>
    <row r="38">
      <c r="A38" s="43" t="s">
        <v>29</v>
      </c>
      <c r="B38" s="110" t="s">
        <v>242</v>
      </c>
      <c r="C38" s="33">
        <v>8.0</v>
      </c>
      <c r="D38" s="33">
        <v>72.0</v>
      </c>
      <c r="E38" s="33">
        <v>22.0</v>
      </c>
      <c r="F38" s="33">
        <v>0.0</v>
      </c>
      <c r="G38" s="33">
        <v>0.0</v>
      </c>
      <c r="H38" s="33">
        <v>0.0</v>
      </c>
      <c r="I38" s="33">
        <v>0.0</v>
      </c>
      <c r="J38" s="33">
        <v>0.0</v>
      </c>
      <c r="K38" s="193">
        <v>56.0</v>
      </c>
      <c r="L38" s="193">
        <v>46.0</v>
      </c>
      <c r="M38" s="41">
        <v>102.0</v>
      </c>
      <c r="N38" s="104"/>
    </row>
    <row r="39">
      <c r="A39" s="43" t="s">
        <v>29</v>
      </c>
      <c r="B39" s="110" t="s">
        <v>244</v>
      </c>
      <c r="C39" s="33">
        <v>0.0</v>
      </c>
      <c r="D39" s="33">
        <v>56.0</v>
      </c>
      <c r="E39" s="33">
        <v>25.0</v>
      </c>
      <c r="F39" s="33">
        <v>6.0</v>
      </c>
      <c r="G39" s="33">
        <v>0.0</v>
      </c>
      <c r="H39" s="33">
        <v>0.0</v>
      </c>
      <c r="I39" s="33">
        <v>0.0</v>
      </c>
      <c r="J39" s="33">
        <v>0.0</v>
      </c>
      <c r="K39" s="193">
        <v>58.0</v>
      </c>
      <c r="L39" s="193">
        <v>29.0</v>
      </c>
      <c r="M39" s="41">
        <v>87.0</v>
      </c>
      <c r="N39" s="104"/>
    </row>
    <row r="40">
      <c r="A40" s="43" t="s">
        <v>29</v>
      </c>
      <c r="B40" s="110" t="s">
        <v>246</v>
      </c>
      <c r="C40" s="33">
        <v>8.0</v>
      </c>
      <c r="D40" s="33">
        <v>24.0</v>
      </c>
      <c r="E40" s="33">
        <v>9.0</v>
      </c>
      <c r="F40" s="33">
        <v>0.0</v>
      </c>
      <c r="G40" s="33">
        <v>0.0</v>
      </c>
      <c r="H40" s="33">
        <v>6.0</v>
      </c>
      <c r="I40" s="33">
        <v>2.0</v>
      </c>
      <c r="J40" s="33">
        <v>4.0</v>
      </c>
      <c r="K40" s="193">
        <v>28.0</v>
      </c>
      <c r="L40" s="193">
        <v>25.0</v>
      </c>
      <c r="M40" s="41">
        <v>53.0</v>
      </c>
      <c r="N40" s="104"/>
    </row>
    <row r="41">
      <c r="A41" s="43" t="s">
        <v>29</v>
      </c>
      <c r="B41" s="110" t="s">
        <v>248</v>
      </c>
      <c r="C41" s="33">
        <v>8.0</v>
      </c>
      <c r="D41" s="33">
        <v>20.0</v>
      </c>
      <c r="E41" s="33">
        <v>34.0</v>
      </c>
      <c r="F41" s="33">
        <v>0.0</v>
      </c>
      <c r="G41" s="33">
        <v>4.0</v>
      </c>
      <c r="H41" s="33">
        <v>0.0</v>
      </c>
      <c r="I41" s="33">
        <v>0.0</v>
      </c>
      <c r="J41" s="33">
        <v>0.0</v>
      </c>
      <c r="K41" s="193">
        <v>28.0</v>
      </c>
      <c r="L41" s="193">
        <v>38.0</v>
      </c>
      <c r="M41" s="41">
        <v>66.0</v>
      </c>
      <c r="N41" s="104"/>
    </row>
    <row r="42">
      <c r="A42" s="43" t="s">
        <v>29</v>
      </c>
      <c r="B42" s="110" t="s">
        <v>250</v>
      </c>
      <c r="C42" s="33">
        <v>0.0</v>
      </c>
      <c r="D42" s="33">
        <v>0.0</v>
      </c>
      <c r="E42" s="33">
        <v>62.0</v>
      </c>
      <c r="F42" s="33">
        <v>0.0</v>
      </c>
      <c r="G42" s="33">
        <v>0.0</v>
      </c>
      <c r="H42" s="33">
        <v>0.0</v>
      </c>
      <c r="I42" s="33">
        <v>0.0</v>
      </c>
      <c r="J42" s="33">
        <v>4.0</v>
      </c>
      <c r="K42" s="193">
        <v>34.0</v>
      </c>
      <c r="L42" s="193">
        <v>32.0</v>
      </c>
      <c r="M42" s="41">
        <v>66.0</v>
      </c>
      <c r="N42" s="104"/>
    </row>
    <row r="43">
      <c r="A43" s="43" t="s">
        <v>29</v>
      </c>
      <c r="B43" s="110" t="s">
        <v>252</v>
      </c>
      <c r="C43" s="33">
        <v>8.0</v>
      </c>
      <c r="D43" s="33">
        <v>36.0</v>
      </c>
      <c r="E43" s="33">
        <v>3.0</v>
      </c>
      <c r="F43" s="33">
        <v>0.0</v>
      </c>
      <c r="G43" s="33">
        <v>0.0</v>
      </c>
      <c r="H43" s="33">
        <v>0.0</v>
      </c>
      <c r="I43" s="33">
        <v>0.0</v>
      </c>
      <c r="J43" s="33">
        <v>0.0</v>
      </c>
      <c r="K43" s="193">
        <v>56.0</v>
      </c>
      <c r="L43" s="193">
        <v>31.0</v>
      </c>
      <c r="M43" s="41">
        <v>87.0</v>
      </c>
      <c r="N43" s="44" t="s">
        <v>118</v>
      </c>
    </row>
    <row r="44">
      <c r="A44" s="43" t="s">
        <v>29</v>
      </c>
      <c r="B44" s="110" t="s">
        <v>254</v>
      </c>
      <c r="C44" s="33">
        <v>8.0</v>
      </c>
      <c r="D44" s="33">
        <v>36.0</v>
      </c>
      <c r="E44" s="33">
        <v>15.0</v>
      </c>
      <c r="F44" s="33">
        <v>0.0</v>
      </c>
      <c r="G44" s="33">
        <v>0.0</v>
      </c>
      <c r="H44" s="33">
        <v>2.0</v>
      </c>
      <c r="I44" s="33">
        <v>2.0</v>
      </c>
      <c r="J44" s="33">
        <v>1.0</v>
      </c>
      <c r="K44" s="193">
        <v>34.0</v>
      </c>
      <c r="L44" s="193">
        <v>30.0</v>
      </c>
      <c r="M44" s="41">
        <v>64.0</v>
      </c>
      <c r="N44" s="104"/>
    </row>
    <row r="45">
      <c r="A45" s="43" t="s">
        <v>29</v>
      </c>
      <c r="B45" s="110" t="s">
        <v>256</v>
      </c>
      <c r="C45" s="33">
        <v>24.0</v>
      </c>
      <c r="D45" s="33">
        <v>4.0</v>
      </c>
      <c r="E45" s="33">
        <v>7.0</v>
      </c>
      <c r="F45" s="33">
        <v>0.0</v>
      </c>
      <c r="G45" s="33">
        <v>4.0</v>
      </c>
      <c r="H45" s="33">
        <v>6.0</v>
      </c>
      <c r="I45" s="33">
        <v>3.0</v>
      </c>
      <c r="J45" s="33">
        <v>2.0</v>
      </c>
      <c r="K45" s="193">
        <v>25.0</v>
      </c>
      <c r="L45" s="193">
        <v>25.0</v>
      </c>
      <c r="M45" s="41">
        <v>50.0</v>
      </c>
      <c r="N45" s="104"/>
    </row>
    <row r="46">
      <c r="A46" s="43" t="s">
        <v>29</v>
      </c>
      <c r="B46" s="110" t="s">
        <v>258</v>
      </c>
      <c r="C46" s="33">
        <v>8.0</v>
      </c>
      <c r="D46" s="33">
        <v>32.0</v>
      </c>
      <c r="E46" s="33">
        <v>0.0</v>
      </c>
      <c r="F46" s="33">
        <v>0.0</v>
      </c>
      <c r="G46" s="33">
        <v>0.0</v>
      </c>
      <c r="H46" s="33">
        <v>6.0</v>
      </c>
      <c r="I46" s="33">
        <v>2.0</v>
      </c>
      <c r="J46" s="33">
        <v>0.0</v>
      </c>
      <c r="K46" s="193">
        <v>22.0</v>
      </c>
      <c r="L46" s="193">
        <v>26.0</v>
      </c>
      <c r="M46" s="41">
        <v>48.0</v>
      </c>
      <c r="N46" s="104"/>
    </row>
    <row r="47">
      <c r="A47" s="43" t="s">
        <v>29</v>
      </c>
      <c r="B47" s="110" t="s">
        <v>260</v>
      </c>
      <c r="C47" s="33">
        <v>24.0</v>
      </c>
      <c r="D47" s="33">
        <v>34.0</v>
      </c>
      <c r="E47" s="33">
        <v>0.0</v>
      </c>
      <c r="F47" s="33">
        <v>0.0</v>
      </c>
      <c r="G47" s="33">
        <v>0.0</v>
      </c>
      <c r="H47" s="33">
        <v>1.0</v>
      </c>
      <c r="I47" s="33">
        <v>0.0</v>
      </c>
      <c r="J47" s="33">
        <v>0.0</v>
      </c>
      <c r="K47" s="193">
        <v>28.0</v>
      </c>
      <c r="L47" s="193">
        <v>31.0</v>
      </c>
      <c r="M47" s="41">
        <v>59.0</v>
      </c>
      <c r="N47" s="104"/>
    </row>
    <row r="48">
      <c r="A48" s="43" t="s">
        <v>29</v>
      </c>
      <c r="B48" s="110" t="s">
        <v>262</v>
      </c>
      <c r="C48" s="33">
        <v>16.0</v>
      </c>
      <c r="D48" s="33">
        <v>35.0</v>
      </c>
      <c r="E48" s="33">
        <v>5.0</v>
      </c>
      <c r="F48" s="33">
        <v>0.0</v>
      </c>
      <c r="G48" s="33">
        <v>0.0</v>
      </c>
      <c r="H48" s="33">
        <v>1.0</v>
      </c>
      <c r="I48" s="33">
        <v>0.0</v>
      </c>
      <c r="J48" s="33">
        <v>0.0</v>
      </c>
      <c r="K48" s="193">
        <v>32.0</v>
      </c>
      <c r="L48" s="193">
        <v>25.0</v>
      </c>
      <c r="M48" s="41">
        <v>57.0</v>
      </c>
      <c r="N48" s="104"/>
    </row>
    <row r="49">
      <c r="A49" s="43" t="s">
        <v>29</v>
      </c>
      <c r="B49" s="110" t="s">
        <v>264</v>
      </c>
      <c r="C49" s="33">
        <v>24.0</v>
      </c>
      <c r="D49" s="33">
        <v>28.0</v>
      </c>
      <c r="E49" s="33">
        <v>3.0</v>
      </c>
      <c r="F49" s="33">
        <v>0.0</v>
      </c>
      <c r="G49" s="33">
        <v>0.0</v>
      </c>
      <c r="H49" s="33">
        <v>0.0</v>
      </c>
      <c r="I49" s="33">
        <v>0.0</v>
      </c>
      <c r="J49" s="33">
        <v>0.0</v>
      </c>
      <c r="K49" s="193">
        <v>28.0</v>
      </c>
      <c r="L49" s="193">
        <v>27.0</v>
      </c>
      <c r="M49" s="41">
        <v>55.0</v>
      </c>
      <c r="N49" s="104"/>
    </row>
    <row r="50">
      <c r="A50" s="43" t="s">
        <v>29</v>
      </c>
      <c r="B50" s="110" t="s">
        <v>266</v>
      </c>
      <c r="C50" s="33">
        <v>8.0</v>
      </c>
      <c r="D50" s="33">
        <v>27.0</v>
      </c>
      <c r="E50" s="33">
        <v>53.0</v>
      </c>
      <c r="F50" s="33">
        <v>0.0</v>
      </c>
      <c r="G50" s="33">
        <v>0.0</v>
      </c>
      <c r="H50" s="33">
        <v>0.0</v>
      </c>
      <c r="I50" s="33">
        <v>0.0</v>
      </c>
      <c r="J50" s="33">
        <v>0.0</v>
      </c>
      <c r="K50" s="193">
        <v>51.0</v>
      </c>
      <c r="L50" s="193">
        <v>37.0</v>
      </c>
      <c r="M50" s="41">
        <v>88.0</v>
      </c>
      <c r="N50" s="104"/>
    </row>
    <row r="51">
      <c r="A51" s="43" t="s">
        <v>29</v>
      </c>
      <c r="B51" s="110" t="s">
        <v>268</v>
      </c>
      <c r="C51" s="33">
        <v>0.0</v>
      </c>
      <c r="D51" s="33">
        <v>16.0</v>
      </c>
      <c r="E51" s="33">
        <v>0.0</v>
      </c>
      <c r="F51" s="33">
        <v>2.0</v>
      </c>
      <c r="G51" s="33">
        <v>0.0</v>
      </c>
      <c r="H51" s="33">
        <v>0.0</v>
      </c>
      <c r="I51" s="33">
        <v>3.0</v>
      </c>
      <c r="J51" s="33">
        <v>0.0</v>
      </c>
      <c r="K51" s="193">
        <v>36.0</v>
      </c>
      <c r="L51" s="193">
        <v>25.0</v>
      </c>
      <c r="M51" s="41">
        <v>61.0</v>
      </c>
      <c r="N51" s="44" t="s">
        <v>42</v>
      </c>
    </row>
    <row r="52">
      <c r="A52" s="43" t="s">
        <v>29</v>
      </c>
      <c r="B52" s="110" t="s">
        <v>270</v>
      </c>
      <c r="C52" s="33">
        <v>0.0</v>
      </c>
      <c r="D52" s="33">
        <v>71.0</v>
      </c>
      <c r="E52" s="33">
        <v>83.0</v>
      </c>
      <c r="F52" s="33">
        <v>0.0</v>
      </c>
      <c r="G52" s="33">
        <v>15.0</v>
      </c>
      <c r="H52" s="33">
        <v>3.0</v>
      </c>
      <c r="I52" s="33">
        <v>3.0</v>
      </c>
      <c r="J52" s="33">
        <v>0.0</v>
      </c>
      <c r="K52" s="193">
        <v>123.0</v>
      </c>
      <c r="L52" s="193">
        <v>52.0</v>
      </c>
      <c r="M52" s="41">
        <v>175.0</v>
      </c>
      <c r="N52" s="104"/>
    </row>
    <row r="53">
      <c r="A53" s="43" t="s">
        <v>29</v>
      </c>
      <c r="B53" s="110" t="s">
        <v>272</v>
      </c>
      <c r="C53" s="33">
        <v>24.0</v>
      </c>
      <c r="D53" s="33">
        <v>20.0</v>
      </c>
      <c r="E53" s="33">
        <v>14.0</v>
      </c>
      <c r="F53" s="33">
        <v>0.0</v>
      </c>
      <c r="G53" s="33">
        <v>0.0</v>
      </c>
      <c r="H53" s="33">
        <v>0.0</v>
      </c>
      <c r="I53" s="33">
        <v>0.0</v>
      </c>
      <c r="J53" s="33">
        <v>0.0</v>
      </c>
      <c r="K53" s="193">
        <v>28.0</v>
      </c>
      <c r="L53" s="193">
        <v>30.0</v>
      </c>
      <c r="M53" s="41">
        <v>58.0</v>
      </c>
      <c r="N53" s="104"/>
    </row>
    <row r="54">
      <c r="A54" s="43" t="s">
        <v>29</v>
      </c>
      <c r="B54" s="110" t="s">
        <v>274</v>
      </c>
      <c r="C54" s="33">
        <v>0.0</v>
      </c>
      <c r="D54" s="33">
        <v>40.0</v>
      </c>
      <c r="E54" s="33">
        <v>25.0</v>
      </c>
      <c r="F54" s="33">
        <v>0.0</v>
      </c>
      <c r="G54" s="33">
        <v>0.0</v>
      </c>
      <c r="H54" s="33">
        <v>0.0</v>
      </c>
      <c r="I54" s="33">
        <v>0.0</v>
      </c>
      <c r="J54" s="33">
        <v>0.0</v>
      </c>
      <c r="K54" s="193">
        <v>40.0</v>
      </c>
      <c r="L54" s="193">
        <v>25.0</v>
      </c>
      <c r="M54" s="41">
        <v>65.0</v>
      </c>
      <c r="N54" s="104"/>
    </row>
    <row r="55">
      <c r="A55" s="43" t="s">
        <v>29</v>
      </c>
      <c r="B55" s="110" t="s">
        <v>276</v>
      </c>
      <c r="C55" s="33">
        <v>0.0</v>
      </c>
      <c r="D55" s="33">
        <v>20.0</v>
      </c>
      <c r="E55" s="33">
        <v>38.0</v>
      </c>
      <c r="F55" s="33">
        <v>0.0</v>
      </c>
      <c r="G55" s="33">
        <v>0.0</v>
      </c>
      <c r="H55" s="33">
        <v>0.0</v>
      </c>
      <c r="I55" s="33">
        <v>0.0</v>
      </c>
      <c r="J55" s="33">
        <v>0.0</v>
      </c>
      <c r="K55" s="193">
        <v>56.0</v>
      </c>
      <c r="L55" s="193">
        <v>42.0</v>
      </c>
      <c r="M55" s="41">
        <v>98.0</v>
      </c>
      <c r="N55" s="44" t="s">
        <v>42</v>
      </c>
    </row>
    <row r="56">
      <c r="A56" s="43" t="s">
        <v>29</v>
      </c>
      <c r="B56" s="110" t="s">
        <v>278</v>
      </c>
      <c r="C56" s="33">
        <v>8.0</v>
      </c>
      <c r="D56" s="33">
        <v>32.0</v>
      </c>
      <c r="E56" s="33">
        <v>3.0</v>
      </c>
      <c r="F56" s="33">
        <v>0.0</v>
      </c>
      <c r="G56" s="33">
        <v>0.0</v>
      </c>
      <c r="H56" s="33">
        <v>0.0</v>
      </c>
      <c r="I56" s="33">
        <v>0.0</v>
      </c>
      <c r="J56" s="33">
        <v>0.0</v>
      </c>
      <c r="K56" s="193">
        <v>28.0</v>
      </c>
      <c r="L56" s="193">
        <v>55.0</v>
      </c>
      <c r="M56" s="41">
        <v>83.0</v>
      </c>
      <c r="N56" s="44" t="s">
        <v>196</v>
      </c>
    </row>
    <row r="57">
      <c r="A57" s="43" t="s">
        <v>29</v>
      </c>
      <c r="B57" s="110" t="s">
        <v>280</v>
      </c>
      <c r="C57" s="33">
        <v>0.0</v>
      </c>
      <c r="D57" s="33">
        <v>16.0</v>
      </c>
      <c r="E57" s="33">
        <v>63.0</v>
      </c>
      <c r="F57" s="33">
        <v>0.0</v>
      </c>
      <c r="G57" s="33">
        <v>0.0</v>
      </c>
      <c r="H57" s="33">
        <v>0.0</v>
      </c>
      <c r="I57" s="33">
        <v>0.0</v>
      </c>
      <c r="J57" s="33">
        <v>0.0</v>
      </c>
      <c r="K57" s="193">
        <v>52.0</v>
      </c>
      <c r="L57" s="193">
        <v>27.0</v>
      </c>
      <c r="M57" s="41">
        <v>79.0</v>
      </c>
      <c r="N57" s="104"/>
    </row>
    <row r="58">
      <c r="A58" s="43" t="s">
        <v>29</v>
      </c>
      <c r="B58" s="110" t="s">
        <v>282</v>
      </c>
      <c r="C58" s="33">
        <v>8.0</v>
      </c>
      <c r="D58" s="33">
        <v>0.0</v>
      </c>
      <c r="E58" s="33">
        <v>73.0</v>
      </c>
      <c r="F58" s="33">
        <v>0.0</v>
      </c>
      <c r="G58" s="33">
        <v>0.0</v>
      </c>
      <c r="H58" s="33">
        <v>0.0</v>
      </c>
      <c r="I58" s="33">
        <v>0.0</v>
      </c>
      <c r="J58" s="33">
        <v>0.0</v>
      </c>
      <c r="K58" s="193">
        <v>52.0</v>
      </c>
      <c r="L58" s="193">
        <v>29.0</v>
      </c>
      <c r="M58" s="41">
        <v>81.0</v>
      </c>
      <c r="N58" s="104"/>
    </row>
    <row r="59">
      <c r="A59" s="43" t="s">
        <v>29</v>
      </c>
      <c r="B59" s="110" t="s">
        <v>284</v>
      </c>
      <c r="C59" s="33">
        <v>16.0</v>
      </c>
      <c r="D59" s="33">
        <v>20.0</v>
      </c>
      <c r="E59" s="33">
        <v>31.0</v>
      </c>
      <c r="F59" s="33">
        <v>0.0</v>
      </c>
      <c r="G59" s="33">
        <v>0.0</v>
      </c>
      <c r="H59" s="33">
        <v>0.0</v>
      </c>
      <c r="I59" s="33">
        <v>0.0</v>
      </c>
      <c r="J59" s="33">
        <v>1.0</v>
      </c>
      <c r="K59" s="193">
        <v>29.0</v>
      </c>
      <c r="L59" s="193">
        <v>39.0</v>
      </c>
      <c r="M59" s="41">
        <v>68.0</v>
      </c>
      <c r="N59" s="104"/>
    </row>
    <row r="60">
      <c r="A60" s="43" t="s">
        <v>29</v>
      </c>
      <c r="B60" s="110" t="s">
        <v>286</v>
      </c>
      <c r="C60" s="33">
        <v>0.0</v>
      </c>
      <c r="D60" s="33">
        <v>40.0</v>
      </c>
      <c r="E60" s="33">
        <v>62.0</v>
      </c>
      <c r="F60" s="33">
        <v>0.0</v>
      </c>
      <c r="G60" s="33">
        <v>0.0</v>
      </c>
      <c r="H60" s="33">
        <v>0.0</v>
      </c>
      <c r="I60" s="33">
        <v>0.0</v>
      </c>
      <c r="J60" s="33">
        <v>0.0</v>
      </c>
      <c r="K60" s="193">
        <v>72.0</v>
      </c>
      <c r="L60" s="193">
        <v>70.0</v>
      </c>
      <c r="M60" s="41">
        <v>142.0</v>
      </c>
      <c r="N60" s="44" t="s">
        <v>47</v>
      </c>
    </row>
    <row r="61">
      <c r="A61" s="43" t="s">
        <v>29</v>
      </c>
      <c r="B61" s="110" t="s">
        <v>288</v>
      </c>
      <c r="C61" s="33">
        <v>0.0</v>
      </c>
      <c r="D61" s="33">
        <v>0.0</v>
      </c>
      <c r="E61" s="33">
        <v>16.0</v>
      </c>
      <c r="F61" s="33">
        <v>0.0</v>
      </c>
      <c r="G61" s="33">
        <v>0.0</v>
      </c>
      <c r="H61" s="33">
        <v>0.0</v>
      </c>
      <c r="I61" s="33">
        <v>0.0</v>
      </c>
      <c r="J61" s="33">
        <v>0.0</v>
      </c>
      <c r="K61" s="193">
        <v>28.0</v>
      </c>
      <c r="L61" s="193">
        <v>28.0</v>
      </c>
      <c r="M61" s="41">
        <v>56.0</v>
      </c>
      <c r="N61" s="112" t="s">
        <v>196</v>
      </c>
    </row>
    <row r="62">
      <c r="A62" s="43" t="s">
        <v>29</v>
      </c>
      <c r="B62" s="110" t="s">
        <v>290</v>
      </c>
      <c r="C62" s="33">
        <v>8.0</v>
      </c>
      <c r="D62" s="33">
        <v>16.0</v>
      </c>
      <c r="E62" s="33">
        <v>38.0</v>
      </c>
      <c r="F62" s="33">
        <v>0.0</v>
      </c>
      <c r="G62" s="33">
        <v>4.0</v>
      </c>
      <c r="H62" s="33">
        <v>7.0</v>
      </c>
      <c r="I62" s="33">
        <v>0.0</v>
      </c>
      <c r="J62" s="33">
        <v>1.0</v>
      </c>
      <c r="K62" s="193">
        <v>44.0</v>
      </c>
      <c r="L62" s="193">
        <v>30.0</v>
      </c>
      <c r="M62" s="41">
        <v>74.0</v>
      </c>
      <c r="N62" s="104"/>
    </row>
    <row r="63">
      <c r="A63" s="43" t="s">
        <v>29</v>
      </c>
      <c r="B63" s="110" t="s">
        <v>292</v>
      </c>
      <c r="C63" s="33">
        <v>0.0</v>
      </c>
      <c r="D63" s="33">
        <v>44.0</v>
      </c>
      <c r="E63" s="33">
        <v>26.0</v>
      </c>
      <c r="F63" s="33">
        <v>0.0</v>
      </c>
      <c r="G63" s="33">
        <v>0.0</v>
      </c>
      <c r="H63" s="33">
        <v>0.0</v>
      </c>
      <c r="I63" s="33">
        <v>0.0</v>
      </c>
      <c r="J63" s="33">
        <v>0.0</v>
      </c>
      <c r="K63" s="193">
        <v>64.0</v>
      </c>
      <c r="L63" s="193">
        <v>46.0</v>
      </c>
      <c r="M63" s="41">
        <v>110.0</v>
      </c>
      <c r="N63" s="44" t="s">
        <v>47</v>
      </c>
    </row>
    <row r="64">
      <c r="A64" s="43" t="s">
        <v>29</v>
      </c>
      <c r="B64" s="110" t="s">
        <v>294</v>
      </c>
      <c r="C64" s="33">
        <v>0.0</v>
      </c>
      <c r="D64" s="33">
        <v>44.0</v>
      </c>
      <c r="E64" s="33">
        <v>26.0</v>
      </c>
      <c r="F64" s="33">
        <v>0.0</v>
      </c>
      <c r="G64" s="33">
        <v>0.0</v>
      </c>
      <c r="H64" s="33">
        <v>0.0</v>
      </c>
      <c r="I64" s="33">
        <v>0.0</v>
      </c>
      <c r="J64" s="33">
        <v>0.0</v>
      </c>
      <c r="K64" s="193">
        <v>36.0</v>
      </c>
      <c r="L64" s="193">
        <v>34.0</v>
      </c>
      <c r="M64" s="41">
        <v>70.0</v>
      </c>
      <c r="N64" s="104"/>
    </row>
    <row r="65">
      <c r="A65" s="43" t="s">
        <v>29</v>
      </c>
      <c r="B65" s="110" t="s">
        <v>296</v>
      </c>
      <c r="C65" s="33">
        <v>0.0</v>
      </c>
      <c r="D65" s="33">
        <v>45.0</v>
      </c>
      <c r="E65" s="33">
        <v>31.0</v>
      </c>
      <c r="F65" s="33">
        <v>0.0</v>
      </c>
      <c r="G65" s="33">
        <v>0.0</v>
      </c>
      <c r="H65" s="33">
        <v>0.0</v>
      </c>
      <c r="I65" s="33">
        <v>0.0</v>
      </c>
      <c r="J65" s="33">
        <v>0.0</v>
      </c>
      <c r="K65" s="193">
        <v>36.0</v>
      </c>
      <c r="L65" s="193">
        <v>40.0</v>
      </c>
      <c r="M65" s="41">
        <v>76.0</v>
      </c>
      <c r="N65" s="104"/>
    </row>
    <row r="66">
      <c r="A66" s="43" t="s">
        <v>29</v>
      </c>
      <c r="B66" s="110" t="s">
        <v>298</v>
      </c>
      <c r="C66" s="6">
        <v>0.0</v>
      </c>
      <c r="D66" s="6">
        <v>40.0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76">
        <v>52.0</v>
      </c>
      <c r="L66" s="76">
        <v>28.0</v>
      </c>
      <c r="M66" s="41">
        <v>80.0</v>
      </c>
      <c r="N66" s="44" t="s">
        <v>118</v>
      </c>
    </row>
  </sheetData>
  <mergeCells count="4">
    <mergeCell ref="B1:B2"/>
    <mergeCell ref="C1:J1"/>
    <mergeCell ref="M1:M2"/>
    <mergeCell ref="N1:N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3.63"/>
  </cols>
  <sheetData>
    <row r="1">
      <c r="A1" s="189"/>
      <c r="B1" s="10" t="s">
        <v>4</v>
      </c>
      <c r="C1" s="11" t="s">
        <v>5</v>
      </c>
      <c r="D1" s="3"/>
      <c r="E1" s="3"/>
      <c r="F1" s="3"/>
      <c r="G1" s="3"/>
      <c r="H1" s="3"/>
      <c r="I1" s="3"/>
      <c r="J1" s="4"/>
      <c r="K1" s="190"/>
      <c r="L1" s="190"/>
      <c r="M1" s="12" t="s">
        <v>556</v>
      </c>
    </row>
    <row r="2">
      <c r="A2" s="26"/>
      <c r="B2" s="19"/>
      <c r="C2" s="20" t="s">
        <v>16</v>
      </c>
      <c r="D2" s="14" t="s">
        <v>17</v>
      </c>
      <c r="E2" s="14" t="s">
        <v>18</v>
      </c>
      <c r="F2" s="14" t="s">
        <v>19</v>
      </c>
      <c r="G2" s="14" t="s">
        <v>20</v>
      </c>
      <c r="H2" s="14" t="s">
        <v>21</v>
      </c>
      <c r="I2" s="14" t="s">
        <v>22</v>
      </c>
      <c r="J2" s="14" t="s">
        <v>23</v>
      </c>
      <c r="K2" s="191" t="s">
        <v>557</v>
      </c>
      <c r="L2" s="191" t="s">
        <v>558</v>
      </c>
      <c r="M2" s="19"/>
    </row>
    <row r="3">
      <c r="A3" s="43" t="s">
        <v>29</v>
      </c>
      <c r="B3" s="92" t="s">
        <v>171</v>
      </c>
      <c r="C3" s="33">
        <v>0.0</v>
      </c>
      <c r="D3" s="33">
        <v>29.0</v>
      </c>
      <c r="E3" s="33">
        <v>88.0</v>
      </c>
      <c r="F3" s="33">
        <v>0.0</v>
      </c>
      <c r="G3" s="33">
        <v>0.0</v>
      </c>
      <c r="H3" s="33">
        <v>0.0</v>
      </c>
      <c r="I3" s="33">
        <v>0.0</v>
      </c>
      <c r="J3" s="33">
        <v>0.0</v>
      </c>
      <c r="K3" s="193">
        <v>59.0</v>
      </c>
      <c r="L3" s="193">
        <v>58.0</v>
      </c>
      <c r="M3" s="24">
        <v>117.0</v>
      </c>
    </row>
    <row r="4">
      <c r="A4" s="214" t="s">
        <v>29</v>
      </c>
      <c r="B4" s="215" t="s">
        <v>173</v>
      </c>
      <c r="C4" s="216">
        <v>0.0</v>
      </c>
      <c r="D4" s="216">
        <v>40.0</v>
      </c>
      <c r="E4" s="216">
        <v>32.0</v>
      </c>
      <c r="F4" s="216">
        <v>0.0</v>
      </c>
      <c r="G4" s="216">
        <v>0.0</v>
      </c>
      <c r="H4" s="216">
        <v>0.0</v>
      </c>
      <c r="I4" s="216">
        <v>0.0</v>
      </c>
      <c r="J4" s="216">
        <v>0.0</v>
      </c>
      <c r="K4" s="217">
        <v>54.0</v>
      </c>
      <c r="L4" s="217">
        <v>18.0</v>
      </c>
      <c r="M4" s="218">
        <v>72.0</v>
      </c>
    </row>
    <row r="5">
      <c r="A5" s="43" t="s">
        <v>29</v>
      </c>
      <c r="B5" s="107" t="s">
        <v>175</v>
      </c>
      <c r="C5" s="33">
        <v>0.0</v>
      </c>
      <c r="D5" s="33">
        <v>32.0</v>
      </c>
      <c r="E5" s="33">
        <v>12.0</v>
      </c>
      <c r="F5" s="33">
        <v>0.0</v>
      </c>
      <c r="G5" s="33">
        <v>0.0</v>
      </c>
      <c r="H5" s="33">
        <v>0.0</v>
      </c>
      <c r="I5" s="33">
        <v>0.0</v>
      </c>
      <c r="J5" s="33">
        <v>0.0</v>
      </c>
      <c r="K5" s="193">
        <v>44.0</v>
      </c>
      <c r="L5" s="193">
        <v>40.0</v>
      </c>
      <c r="M5" s="41">
        <v>84.0</v>
      </c>
    </row>
    <row r="6">
      <c r="A6" s="43" t="s">
        <v>29</v>
      </c>
      <c r="B6" s="110" t="s">
        <v>177</v>
      </c>
      <c r="C6" s="33">
        <v>0.0</v>
      </c>
      <c r="D6" s="33">
        <v>33.0</v>
      </c>
      <c r="E6" s="33">
        <v>83.0</v>
      </c>
      <c r="F6" s="33">
        <v>0.0</v>
      </c>
      <c r="G6" s="33">
        <v>0.0</v>
      </c>
      <c r="H6" s="33">
        <v>0.0</v>
      </c>
      <c r="I6" s="33">
        <v>0.0</v>
      </c>
      <c r="J6" s="33">
        <v>0.0</v>
      </c>
      <c r="K6" s="193">
        <v>55.0</v>
      </c>
      <c r="L6" s="193">
        <v>61.0</v>
      </c>
      <c r="M6" s="41">
        <v>116.0</v>
      </c>
    </row>
    <row r="7">
      <c r="A7" s="43" t="s">
        <v>29</v>
      </c>
      <c r="B7" s="110" t="s">
        <v>179</v>
      </c>
      <c r="C7" s="33">
        <v>8.0</v>
      </c>
      <c r="D7" s="33">
        <v>24.0</v>
      </c>
      <c r="E7" s="33">
        <v>18.0</v>
      </c>
      <c r="F7" s="33">
        <v>0.0</v>
      </c>
      <c r="G7" s="33">
        <v>4.0</v>
      </c>
      <c r="H7" s="33">
        <v>0.0</v>
      </c>
      <c r="I7" s="33">
        <v>0.0</v>
      </c>
      <c r="J7" s="33">
        <v>0.0</v>
      </c>
      <c r="K7" s="193">
        <v>28.0</v>
      </c>
      <c r="L7" s="193">
        <v>26.0</v>
      </c>
      <c r="M7" s="41">
        <v>54.0</v>
      </c>
    </row>
    <row r="8">
      <c r="A8" s="214" t="s">
        <v>29</v>
      </c>
      <c r="B8" s="219" t="s">
        <v>181</v>
      </c>
      <c r="C8" s="216">
        <v>0.0</v>
      </c>
      <c r="D8" s="216">
        <v>0.0</v>
      </c>
      <c r="E8" s="216">
        <v>20.0</v>
      </c>
      <c r="F8" s="216">
        <v>0.0</v>
      </c>
      <c r="G8" s="216">
        <v>0.0</v>
      </c>
      <c r="H8" s="216">
        <v>0.0</v>
      </c>
      <c r="I8" s="216">
        <v>0.0</v>
      </c>
      <c r="J8" s="216">
        <v>0.0</v>
      </c>
      <c r="K8" s="217">
        <v>40.0</v>
      </c>
      <c r="L8" s="217">
        <v>20.0</v>
      </c>
      <c r="M8" s="218">
        <v>60.0</v>
      </c>
    </row>
    <row r="9">
      <c r="A9" s="43" t="s">
        <v>29</v>
      </c>
      <c r="B9" s="110" t="s">
        <v>183</v>
      </c>
      <c r="C9" s="33">
        <v>0.0</v>
      </c>
      <c r="D9" s="33">
        <v>44.0</v>
      </c>
      <c r="E9" s="33">
        <v>43.0</v>
      </c>
      <c r="F9" s="33">
        <v>0.0</v>
      </c>
      <c r="G9" s="33">
        <v>0.0</v>
      </c>
      <c r="H9" s="33">
        <v>0.0</v>
      </c>
      <c r="I9" s="33">
        <v>0.0</v>
      </c>
      <c r="J9" s="33">
        <v>0.0</v>
      </c>
      <c r="K9" s="193">
        <v>54.0</v>
      </c>
      <c r="L9" s="193">
        <v>33.0</v>
      </c>
      <c r="M9" s="41">
        <v>87.0</v>
      </c>
    </row>
    <row r="10">
      <c r="A10" s="214" t="s">
        <v>29</v>
      </c>
      <c r="B10" s="219" t="s">
        <v>185</v>
      </c>
      <c r="C10" s="216">
        <v>0.0</v>
      </c>
      <c r="D10" s="216">
        <v>28.0</v>
      </c>
      <c r="E10" s="216">
        <v>8.0</v>
      </c>
      <c r="F10" s="216">
        <v>0.0</v>
      </c>
      <c r="G10" s="216">
        <v>0.0</v>
      </c>
      <c r="H10" s="216">
        <v>2.0</v>
      </c>
      <c r="I10" s="216">
        <v>0.0</v>
      </c>
      <c r="J10" s="216">
        <v>3.0</v>
      </c>
      <c r="K10" s="217">
        <v>25.0</v>
      </c>
      <c r="L10" s="217">
        <v>16.0</v>
      </c>
      <c r="M10" s="218">
        <v>41.0</v>
      </c>
    </row>
    <row r="11">
      <c r="A11" s="43" t="s">
        <v>29</v>
      </c>
      <c r="B11" s="110" t="s">
        <v>187</v>
      </c>
      <c r="C11" s="33">
        <v>8.0</v>
      </c>
      <c r="D11" s="33">
        <v>16.0</v>
      </c>
      <c r="E11" s="33">
        <v>32.0</v>
      </c>
      <c r="F11" s="33">
        <v>0.0</v>
      </c>
      <c r="G11" s="33">
        <v>0.0</v>
      </c>
      <c r="H11" s="33">
        <v>0.0</v>
      </c>
      <c r="I11" s="33">
        <v>0.0</v>
      </c>
      <c r="J11" s="33">
        <v>0.0</v>
      </c>
      <c r="K11" s="193">
        <v>50.0</v>
      </c>
      <c r="L11" s="193">
        <v>46.0</v>
      </c>
      <c r="M11" s="41">
        <v>96.0</v>
      </c>
    </row>
    <row r="12">
      <c r="A12" s="43" t="s">
        <v>29</v>
      </c>
      <c r="B12" s="110" t="s">
        <v>189</v>
      </c>
      <c r="C12" s="33">
        <v>0.0</v>
      </c>
      <c r="D12" s="33">
        <v>32.0</v>
      </c>
      <c r="E12" s="33">
        <v>18.0</v>
      </c>
      <c r="F12" s="33">
        <v>0.0</v>
      </c>
      <c r="G12" s="33">
        <v>0.0</v>
      </c>
      <c r="H12" s="33">
        <v>0.0</v>
      </c>
      <c r="I12" s="33">
        <v>0.0</v>
      </c>
      <c r="J12" s="33">
        <v>1.0</v>
      </c>
      <c r="K12" s="193">
        <v>25.0</v>
      </c>
      <c r="L12" s="193">
        <v>26.0</v>
      </c>
      <c r="M12" s="41">
        <v>51.0</v>
      </c>
    </row>
    <row r="13">
      <c r="A13" s="214" t="s">
        <v>29</v>
      </c>
      <c r="B13" s="219" t="s">
        <v>191</v>
      </c>
      <c r="C13" s="216">
        <v>0.0</v>
      </c>
      <c r="D13" s="216">
        <v>80.0</v>
      </c>
      <c r="E13" s="216">
        <v>0.0</v>
      </c>
      <c r="F13" s="216">
        <v>0.0</v>
      </c>
      <c r="G13" s="216">
        <v>0.0</v>
      </c>
      <c r="H13" s="216">
        <v>0.0</v>
      </c>
      <c r="I13" s="216">
        <v>0.0</v>
      </c>
      <c r="J13" s="216">
        <v>2.0</v>
      </c>
      <c r="K13" s="217">
        <v>82.0</v>
      </c>
      <c r="L13" s="217">
        <v>0.0</v>
      </c>
      <c r="M13" s="218">
        <v>82.0</v>
      </c>
    </row>
    <row r="14">
      <c r="A14" s="214" t="s">
        <v>29</v>
      </c>
      <c r="B14" s="219" t="s">
        <v>193</v>
      </c>
      <c r="C14" s="216">
        <v>0.0</v>
      </c>
      <c r="D14" s="216">
        <v>0.0</v>
      </c>
      <c r="E14" s="216">
        <v>20.0</v>
      </c>
      <c r="F14" s="216">
        <v>0.0</v>
      </c>
      <c r="G14" s="216">
        <v>0.0</v>
      </c>
      <c r="H14" s="216">
        <v>0.0</v>
      </c>
      <c r="I14" s="216">
        <v>0.0</v>
      </c>
      <c r="J14" s="216">
        <v>0.0</v>
      </c>
      <c r="K14" s="217">
        <v>40.0</v>
      </c>
      <c r="L14" s="217">
        <v>20.0</v>
      </c>
      <c r="M14" s="218">
        <v>60.0</v>
      </c>
    </row>
    <row r="15">
      <c r="A15" s="214" t="s">
        <v>29</v>
      </c>
      <c r="B15" s="219" t="s">
        <v>195</v>
      </c>
      <c r="C15" s="216">
        <v>0.0</v>
      </c>
      <c r="D15" s="216">
        <v>44.0</v>
      </c>
      <c r="E15" s="216">
        <v>0.0</v>
      </c>
      <c r="F15" s="216">
        <v>0.0</v>
      </c>
      <c r="G15" s="216">
        <v>0.0</v>
      </c>
      <c r="H15" s="216">
        <v>0.0</v>
      </c>
      <c r="I15" s="216">
        <v>0.0</v>
      </c>
      <c r="J15" s="216">
        <v>2.0</v>
      </c>
      <c r="K15" s="217">
        <v>66.0</v>
      </c>
      <c r="L15" s="217">
        <v>20.0</v>
      </c>
      <c r="M15" s="218">
        <v>86.0</v>
      </c>
    </row>
    <row r="16">
      <c r="A16" s="43" t="s">
        <v>29</v>
      </c>
      <c r="B16" s="110" t="s">
        <v>198</v>
      </c>
      <c r="C16" s="33">
        <v>0.0</v>
      </c>
      <c r="D16" s="33">
        <v>28.0</v>
      </c>
      <c r="E16" s="33">
        <v>45.0</v>
      </c>
      <c r="F16" s="33">
        <v>0.0</v>
      </c>
      <c r="G16" s="33">
        <v>0.0</v>
      </c>
      <c r="H16" s="33">
        <v>0.0</v>
      </c>
      <c r="I16" s="33">
        <v>0.0</v>
      </c>
      <c r="J16" s="33">
        <v>0.0</v>
      </c>
      <c r="K16" s="193">
        <v>40.0</v>
      </c>
      <c r="L16" s="193">
        <v>33.0</v>
      </c>
      <c r="M16" s="41">
        <v>73.0</v>
      </c>
    </row>
    <row r="17">
      <c r="A17" s="43" t="s">
        <v>29</v>
      </c>
      <c r="B17" s="110" t="s">
        <v>200</v>
      </c>
      <c r="C17" s="33">
        <v>0.0</v>
      </c>
      <c r="D17" s="33">
        <v>28.0</v>
      </c>
      <c r="E17" s="33">
        <v>16.0</v>
      </c>
      <c r="F17" s="33">
        <v>0.0</v>
      </c>
      <c r="G17" s="33">
        <v>0.0</v>
      </c>
      <c r="H17" s="33">
        <v>0.0</v>
      </c>
      <c r="I17" s="33">
        <v>0.0</v>
      </c>
      <c r="J17" s="33">
        <v>0.0</v>
      </c>
      <c r="K17" s="193">
        <v>40.0</v>
      </c>
      <c r="L17" s="193">
        <v>44.0</v>
      </c>
      <c r="M17" s="41">
        <v>84.0</v>
      </c>
    </row>
    <row r="18">
      <c r="A18" s="43" t="s">
        <v>29</v>
      </c>
      <c r="B18" s="110" t="s">
        <v>202</v>
      </c>
      <c r="C18" s="33">
        <v>8.0</v>
      </c>
      <c r="D18" s="33">
        <v>64.0</v>
      </c>
      <c r="E18" s="33">
        <v>27.0</v>
      </c>
      <c r="F18" s="33">
        <v>0.0</v>
      </c>
      <c r="G18" s="33">
        <v>0.0</v>
      </c>
      <c r="H18" s="33">
        <v>0.0</v>
      </c>
      <c r="I18" s="33">
        <v>0.0</v>
      </c>
      <c r="J18" s="33">
        <v>0.0</v>
      </c>
      <c r="K18" s="193">
        <v>48.0</v>
      </c>
      <c r="L18" s="193">
        <v>51.0</v>
      </c>
      <c r="M18" s="41">
        <v>99.0</v>
      </c>
    </row>
    <row r="19">
      <c r="A19" s="43" t="s">
        <v>29</v>
      </c>
      <c r="B19" s="110" t="s">
        <v>204</v>
      </c>
      <c r="C19" s="33">
        <v>0.0</v>
      </c>
      <c r="D19" s="33">
        <v>16.0</v>
      </c>
      <c r="E19" s="33">
        <v>18.0</v>
      </c>
      <c r="F19" s="33">
        <v>0.0</v>
      </c>
      <c r="G19" s="33">
        <v>4.0</v>
      </c>
      <c r="H19" s="33">
        <v>0.0</v>
      </c>
      <c r="I19" s="33">
        <v>0.0</v>
      </c>
      <c r="J19" s="33">
        <v>0.0</v>
      </c>
      <c r="K19" s="193">
        <v>40.0</v>
      </c>
      <c r="L19" s="193">
        <v>38.0</v>
      </c>
      <c r="M19" s="41">
        <v>78.0</v>
      </c>
    </row>
    <row r="20">
      <c r="A20" s="214" t="s">
        <v>29</v>
      </c>
      <c r="B20" s="219" t="s">
        <v>206</v>
      </c>
      <c r="C20" s="216">
        <v>0.0</v>
      </c>
      <c r="D20" s="216">
        <v>113.0</v>
      </c>
      <c r="E20" s="216">
        <v>18.0</v>
      </c>
      <c r="F20" s="216">
        <v>0.0</v>
      </c>
      <c r="G20" s="216">
        <v>0.0</v>
      </c>
      <c r="H20" s="216">
        <v>0.0</v>
      </c>
      <c r="I20" s="216">
        <v>0.0</v>
      </c>
      <c r="J20" s="216">
        <v>0.0</v>
      </c>
      <c r="K20" s="217">
        <v>107.0</v>
      </c>
      <c r="L20" s="217">
        <v>24.0</v>
      </c>
      <c r="M20" s="218">
        <v>131.0</v>
      </c>
    </row>
    <row r="21">
      <c r="A21" s="214" t="s">
        <v>29</v>
      </c>
      <c r="B21" s="219" t="s">
        <v>208</v>
      </c>
      <c r="C21" s="216">
        <v>0.0</v>
      </c>
      <c r="D21" s="216">
        <v>44.0</v>
      </c>
      <c r="E21" s="216">
        <v>0.0</v>
      </c>
      <c r="F21" s="216">
        <v>0.0</v>
      </c>
      <c r="G21" s="216">
        <v>0.0</v>
      </c>
      <c r="H21" s="216">
        <v>0.0</v>
      </c>
      <c r="I21" s="216">
        <v>0.0</v>
      </c>
      <c r="J21" s="216">
        <v>2.0</v>
      </c>
      <c r="K21" s="217">
        <v>46.0</v>
      </c>
      <c r="L21" s="217">
        <v>0.0</v>
      </c>
      <c r="M21" s="218">
        <v>46.0</v>
      </c>
    </row>
    <row r="22">
      <c r="A22" s="43" t="s">
        <v>29</v>
      </c>
      <c r="B22" s="110" t="s">
        <v>210</v>
      </c>
      <c r="C22" s="33">
        <v>16.0</v>
      </c>
      <c r="D22" s="33">
        <v>49.0</v>
      </c>
      <c r="E22" s="33">
        <v>76.0</v>
      </c>
      <c r="F22" s="33">
        <v>0.0</v>
      </c>
      <c r="G22" s="33">
        <v>0.0</v>
      </c>
      <c r="H22" s="33">
        <v>0.0</v>
      </c>
      <c r="I22" s="33">
        <v>0.0</v>
      </c>
      <c r="J22" s="33">
        <v>0.0</v>
      </c>
      <c r="K22" s="193">
        <v>53.0</v>
      </c>
      <c r="L22" s="193">
        <v>85.0</v>
      </c>
      <c r="M22" s="41">
        <v>141.0</v>
      </c>
    </row>
    <row r="23">
      <c r="A23" s="43" t="s">
        <v>29</v>
      </c>
      <c r="B23" s="110" t="s">
        <v>212</v>
      </c>
      <c r="C23" s="33">
        <v>0.0</v>
      </c>
      <c r="D23" s="33">
        <v>48.0</v>
      </c>
      <c r="E23" s="33">
        <v>23.0</v>
      </c>
      <c r="F23" s="33">
        <v>0.0</v>
      </c>
      <c r="G23" s="33">
        <v>0.0</v>
      </c>
      <c r="H23" s="33">
        <v>0.0</v>
      </c>
      <c r="I23" s="33">
        <v>0.0</v>
      </c>
      <c r="J23" s="33">
        <v>0.0</v>
      </c>
      <c r="K23" s="193">
        <v>40.0</v>
      </c>
      <c r="L23" s="193">
        <v>31.0</v>
      </c>
      <c r="M23" s="41">
        <v>71.0</v>
      </c>
    </row>
    <row r="24">
      <c r="A24" s="203" t="s">
        <v>29</v>
      </c>
      <c r="B24" s="204" t="s">
        <v>214</v>
      </c>
      <c r="C24" s="205">
        <v>0.0</v>
      </c>
      <c r="D24" s="205">
        <v>0.0</v>
      </c>
      <c r="E24" s="205">
        <v>0.0</v>
      </c>
      <c r="F24" s="205">
        <v>0.0</v>
      </c>
      <c r="G24" s="205">
        <v>0.0</v>
      </c>
      <c r="H24" s="205">
        <v>0.0</v>
      </c>
      <c r="I24" s="205">
        <v>0.0</v>
      </c>
      <c r="J24" s="205">
        <v>0.0</v>
      </c>
      <c r="K24" s="206">
        <v>0.0</v>
      </c>
      <c r="L24" s="206">
        <v>0.0</v>
      </c>
      <c r="M24" s="207">
        <v>0.0</v>
      </c>
    </row>
    <row r="25">
      <c r="A25" s="43" t="s">
        <v>29</v>
      </c>
      <c r="B25" s="110" t="s">
        <v>216</v>
      </c>
      <c r="C25" s="33">
        <v>16.0</v>
      </c>
      <c r="D25" s="33">
        <v>28.0</v>
      </c>
      <c r="E25" s="33">
        <v>12.0</v>
      </c>
      <c r="F25" s="33">
        <v>0.0</v>
      </c>
      <c r="G25" s="33">
        <v>0.0</v>
      </c>
      <c r="H25" s="33">
        <v>0.0</v>
      </c>
      <c r="I25" s="33">
        <v>0.0</v>
      </c>
      <c r="J25" s="33">
        <v>0.0</v>
      </c>
      <c r="K25" s="193">
        <v>48.0</v>
      </c>
      <c r="L25" s="193">
        <v>48.0</v>
      </c>
      <c r="M25" s="41">
        <v>96.0</v>
      </c>
    </row>
    <row r="26">
      <c r="A26" s="43" t="s">
        <v>29</v>
      </c>
      <c r="B26" s="110" t="s">
        <v>218</v>
      </c>
      <c r="C26" s="33">
        <v>16.0</v>
      </c>
      <c r="D26" s="33">
        <v>24.0</v>
      </c>
      <c r="E26" s="33">
        <v>31.0</v>
      </c>
      <c r="F26" s="33">
        <v>0.0</v>
      </c>
      <c r="G26" s="33">
        <v>8.0</v>
      </c>
      <c r="H26" s="33">
        <v>2.0</v>
      </c>
      <c r="I26" s="33">
        <v>0.0</v>
      </c>
      <c r="J26" s="33">
        <v>1.0</v>
      </c>
      <c r="K26" s="193">
        <v>27.0</v>
      </c>
      <c r="L26" s="193">
        <v>55.0</v>
      </c>
      <c r="M26" s="41">
        <v>82.0</v>
      </c>
    </row>
    <row r="27">
      <c r="A27" s="43" t="s">
        <v>29</v>
      </c>
      <c r="B27" s="110" t="s">
        <v>220</v>
      </c>
      <c r="C27" s="33">
        <v>8.0</v>
      </c>
      <c r="D27" s="33">
        <v>40.0</v>
      </c>
      <c r="E27" s="33">
        <v>12.0</v>
      </c>
      <c r="F27" s="33">
        <v>0.0</v>
      </c>
      <c r="G27" s="33">
        <v>0.0</v>
      </c>
      <c r="H27" s="33">
        <v>0.0</v>
      </c>
      <c r="I27" s="33">
        <v>0.0</v>
      </c>
      <c r="J27" s="33">
        <v>0.0</v>
      </c>
      <c r="K27" s="193">
        <v>32.0</v>
      </c>
      <c r="L27" s="193">
        <v>28.0</v>
      </c>
      <c r="M27" s="41">
        <v>60.0</v>
      </c>
    </row>
    <row r="28">
      <c r="A28" s="214" t="s">
        <v>29</v>
      </c>
      <c r="B28" s="219" t="s">
        <v>222</v>
      </c>
      <c r="C28" s="216">
        <v>0.0</v>
      </c>
      <c r="D28" s="216">
        <v>20.0</v>
      </c>
      <c r="E28" s="216">
        <v>0.0</v>
      </c>
      <c r="F28" s="216">
        <v>0.0</v>
      </c>
      <c r="G28" s="216">
        <v>4.0</v>
      </c>
      <c r="H28" s="216">
        <v>0.0</v>
      </c>
      <c r="I28" s="216">
        <v>0.0</v>
      </c>
      <c r="J28" s="216">
        <v>1.0</v>
      </c>
      <c r="K28" s="217">
        <v>25.0</v>
      </c>
      <c r="L28" s="217">
        <v>0.0</v>
      </c>
      <c r="M28" s="218">
        <v>25.0</v>
      </c>
    </row>
    <row r="29">
      <c r="A29" s="43" t="s">
        <v>29</v>
      </c>
      <c r="B29" s="110" t="s">
        <v>224</v>
      </c>
      <c r="C29" s="33">
        <v>0.0</v>
      </c>
      <c r="D29" s="33">
        <v>24.0</v>
      </c>
      <c r="E29" s="33">
        <v>50.0</v>
      </c>
      <c r="F29" s="33">
        <v>0.0</v>
      </c>
      <c r="G29" s="33">
        <v>0.0</v>
      </c>
      <c r="H29" s="33">
        <v>0.0</v>
      </c>
      <c r="I29" s="33">
        <v>0.0</v>
      </c>
      <c r="J29" s="33">
        <v>0.0</v>
      </c>
      <c r="K29" s="193">
        <v>36.0</v>
      </c>
      <c r="L29" s="193">
        <v>38.0</v>
      </c>
      <c r="M29" s="41">
        <v>74.0</v>
      </c>
    </row>
    <row r="30">
      <c r="A30" s="43" t="s">
        <v>29</v>
      </c>
      <c r="B30" s="110" t="s">
        <v>226</v>
      </c>
      <c r="C30" s="33">
        <v>0.0</v>
      </c>
      <c r="D30" s="33">
        <v>32.0</v>
      </c>
      <c r="E30" s="33">
        <v>30.0</v>
      </c>
      <c r="F30" s="33">
        <v>0.0</v>
      </c>
      <c r="G30" s="33">
        <v>0.0</v>
      </c>
      <c r="H30" s="33">
        <v>0.0</v>
      </c>
      <c r="I30" s="33">
        <v>0.0</v>
      </c>
      <c r="J30" s="33">
        <v>0.0</v>
      </c>
      <c r="K30" s="193">
        <v>32.0</v>
      </c>
      <c r="L30" s="193">
        <v>30.0</v>
      </c>
      <c r="M30" s="41">
        <v>62.0</v>
      </c>
    </row>
    <row r="31">
      <c r="A31" s="43" t="s">
        <v>29</v>
      </c>
      <c r="B31" s="110" t="s">
        <v>228</v>
      </c>
      <c r="C31" s="33">
        <v>8.0</v>
      </c>
      <c r="D31" s="33">
        <v>32.0</v>
      </c>
      <c r="E31" s="33">
        <v>27.0</v>
      </c>
      <c r="F31" s="33">
        <v>0.0</v>
      </c>
      <c r="G31" s="33">
        <v>0.0</v>
      </c>
      <c r="H31" s="33">
        <v>0.0</v>
      </c>
      <c r="I31" s="33">
        <v>0.0</v>
      </c>
      <c r="J31" s="33">
        <v>0.0</v>
      </c>
      <c r="K31" s="193">
        <v>32.0</v>
      </c>
      <c r="L31" s="193">
        <v>35.0</v>
      </c>
      <c r="M31" s="41">
        <v>67.0</v>
      </c>
    </row>
    <row r="32">
      <c r="A32" s="43" t="s">
        <v>29</v>
      </c>
      <c r="B32" s="110" t="s">
        <v>230</v>
      </c>
      <c r="C32" s="33">
        <v>0.0</v>
      </c>
      <c r="D32" s="33">
        <v>12.0</v>
      </c>
      <c r="E32" s="33">
        <v>9.0</v>
      </c>
      <c r="F32" s="33">
        <v>0.0</v>
      </c>
      <c r="G32" s="33">
        <v>10.0</v>
      </c>
      <c r="H32" s="33">
        <v>0.0</v>
      </c>
      <c r="I32" s="33">
        <v>0.0</v>
      </c>
      <c r="J32" s="33">
        <v>0.0</v>
      </c>
      <c r="K32" s="193">
        <v>33.0</v>
      </c>
      <c r="L32" s="193">
        <v>38.0</v>
      </c>
      <c r="M32" s="41">
        <v>71.0</v>
      </c>
    </row>
    <row r="33">
      <c r="A33" s="43" t="s">
        <v>29</v>
      </c>
      <c r="B33" s="110" t="s">
        <v>232</v>
      </c>
      <c r="C33" s="33">
        <v>0.0</v>
      </c>
      <c r="D33" s="33">
        <v>32.0</v>
      </c>
      <c r="E33" s="33">
        <v>21.0</v>
      </c>
      <c r="F33" s="33">
        <v>0.0</v>
      </c>
      <c r="G33" s="33">
        <v>0.0</v>
      </c>
      <c r="H33" s="33">
        <v>0.0</v>
      </c>
      <c r="I33" s="33">
        <v>0.0</v>
      </c>
      <c r="J33" s="33">
        <v>0.0</v>
      </c>
      <c r="K33" s="193">
        <v>28.0</v>
      </c>
      <c r="L33" s="193">
        <v>25.0</v>
      </c>
      <c r="M33" s="41">
        <v>53.0</v>
      </c>
    </row>
    <row r="34">
      <c r="A34" s="43" t="s">
        <v>29</v>
      </c>
      <c r="B34" s="110" t="s">
        <v>234</v>
      </c>
      <c r="C34" s="33">
        <v>0.0</v>
      </c>
      <c r="D34" s="33">
        <v>48.0</v>
      </c>
      <c r="E34" s="33">
        <v>18.0</v>
      </c>
      <c r="F34" s="33">
        <v>0.0</v>
      </c>
      <c r="G34" s="33">
        <v>0.0</v>
      </c>
      <c r="H34" s="33">
        <v>0.0</v>
      </c>
      <c r="I34" s="33">
        <v>0.0</v>
      </c>
      <c r="J34" s="33">
        <v>0.0</v>
      </c>
      <c r="K34" s="193">
        <v>60.0</v>
      </c>
      <c r="L34" s="193">
        <v>46.0</v>
      </c>
      <c r="M34" s="41">
        <v>106.0</v>
      </c>
    </row>
    <row r="35">
      <c r="A35" s="43" t="s">
        <v>29</v>
      </c>
      <c r="B35" s="110" t="s">
        <v>236</v>
      </c>
      <c r="C35" s="33">
        <v>0.0</v>
      </c>
      <c r="D35" s="33">
        <v>48.0</v>
      </c>
      <c r="E35" s="33">
        <v>26.0</v>
      </c>
      <c r="F35" s="33">
        <v>0.0</v>
      </c>
      <c r="G35" s="33">
        <v>0.0</v>
      </c>
      <c r="H35" s="33">
        <v>0.0</v>
      </c>
      <c r="I35" s="33">
        <v>0.0</v>
      </c>
      <c r="J35" s="33">
        <v>1.0</v>
      </c>
      <c r="K35" s="193">
        <v>45.0</v>
      </c>
      <c r="L35" s="193">
        <v>30.0</v>
      </c>
      <c r="M35" s="41">
        <v>75.0</v>
      </c>
    </row>
    <row r="36">
      <c r="A36" s="43" t="s">
        <v>29</v>
      </c>
      <c r="B36" s="110" t="s">
        <v>238</v>
      </c>
      <c r="C36" s="33">
        <v>0.0</v>
      </c>
      <c r="D36" s="33">
        <v>28.0</v>
      </c>
      <c r="E36" s="33">
        <v>22.0</v>
      </c>
      <c r="F36" s="33">
        <v>0.0</v>
      </c>
      <c r="G36" s="33">
        <v>4.0</v>
      </c>
      <c r="H36" s="33">
        <v>0.0</v>
      </c>
      <c r="I36" s="33">
        <v>0.0</v>
      </c>
      <c r="J36" s="33">
        <v>0.0</v>
      </c>
      <c r="K36" s="193">
        <v>62.0</v>
      </c>
      <c r="L36" s="193">
        <v>32.0</v>
      </c>
      <c r="M36" s="41">
        <v>94.0</v>
      </c>
    </row>
    <row r="37">
      <c r="A37" s="43" t="s">
        <v>29</v>
      </c>
      <c r="B37" s="110" t="s">
        <v>240</v>
      </c>
      <c r="C37" s="33">
        <v>0.0</v>
      </c>
      <c r="D37" s="33">
        <v>16.0</v>
      </c>
      <c r="E37" s="33">
        <v>102.0</v>
      </c>
      <c r="F37" s="33">
        <v>0.0</v>
      </c>
      <c r="G37" s="33">
        <v>0.0</v>
      </c>
      <c r="H37" s="33">
        <v>0.0</v>
      </c>
      <c r="I37" s="33">
        <v>0.0</v>
      </c>
      <c r="J37" s="33">
        <v>0.0</v>
      </c>
      <c r="K37" s="193">
        <v>80.0</v>
      </c>
      <c r="L37" s="193">
        <v>38.0</v>
      </c>
      <c r="M37" s="41">
        <v>118.0</v>
      </c>
    </row>
    <row r="38">
      <c r="A38" s="43" t="s">
        <v>29</v>
      </c>
      <c r="B38" s="110" t="s">
        <v>242</v>
      </c>
      <c r="C38" s="33">
        <v>8.0</v>
      </c>
      <c r="D38" s="33">
        <v>72.0</v>
      </c>
      <c r="E38" s="33">
        <v>22.0</v>
      </c>
      <c r="F38" s="33">
        <v>0.0</v>
      </c>
      <c r="G38" s="33">
        <v>0.0</v>
      </c>
      <c r="H38" s="33">
        <v>0.0</v>
      </c>
      <c r="I38" s="33">
        <v>0.0</v>
      </c>
      <c r="J38" s="33">
        <v>0.0</v>
      </c>
      <c r="K38" s="193">
        <v>56.0</v>
      </c>
      <c r="L38" s="193">
        <v>46.0</v>
      </c>
      <c r="M38" s="41">
        <v>102.0</v>
      </c>
    </row>
    <row r="39">
      <c r="A39" s="214" t="s">
        <v>29</v>
      </c>
      <c r="B39" s="219" t="s">
        <v>244</v>
      </c>
      <c r="C39" s="216">
        <v>0.0</v>
      </c>
      <c r="D39" s="216">
        <v>52.0</v>
      </c>
      <c r="E39" s="216">
        <v>22.0</v>
      </c>
      <c r="F39" s="216">
        <v>0.0</v>
      </c>
      <c r="G39" s="216">
        <v>0.0</v>
      </c>
      <c r="H39" s="216">
        <v>0.0</v>
      </c>
      <c r="I39" s="216">
        <v>0.0</v>
      </c>
      <c r="J39" s="216">
        <v>0.0</v>
      </c>
      <c r="K39" s="217">
        <v>58.0</v>
      </c>
      <c r="L39" s="217">
        <v>16.0</v>
      </c>
      <c r="M39" s="218">
        <v>74.0</v>
      </c>
    </row>
    <row r="40">
      <c r="A40" s="43" t="s">
        <v>29</v>
      </c>
      <c r="B40" s="110" t="s">
        <v>246</v>
      </c>
      <c r="C40" s="33">
        <v>8.0</v>
      </c>
      <c r="D40" s="33">
        <v>24.0</v>
      </c>
      <c r="E40" s="33">
        <v>9.0</v>
      </c>
      <c r="F40" s="33">
        <v>0.0</v>
      </c>
      <c r="G40" s="33">
        <v>0.0</v>
      </c>
      <c r="H40" s="33">
        <v>6.0</v>
      </c>
      <c r="I40" s="33">
        <v>2.0</v>
      </c>
      <c r="J40" s="33">
        <v>4.0</v>
      </c>
      <c r="K40" s="193">
        <v>28.0</v>
      </c>
      <c r="L40" s="193">
        <v>25.0</v>
      </c>
      <c r="M40" s="41">
        <v>53.0</v>
      </c>
    </row>
    <row r="41">
      <c r="A41" s="43" t="s">
        <v>29</v>
      </c>
      <c r="B41" s="110" t="s">
        <v>248</v>
      </c>
      <c r="C41" s="33">
        <v>8.0</v>
      </c>
      <c r="D41" s="33">
        <v>20.0</v>
      </c>
      <c r="E41" s="33">
        <v>34.0</v>
      </c>
      <c r="F41" s="33">
        <v>0.0</v>
      </c>
      <c r="G41" s="33">
        <v>4.0</v>
      </c>
      <c r="H41" s="33">
        <v>0.0</v>
      </c>
      <c r="I41" s="33">
        <v>0.0</v>
      </c>
      <c r="J41" s="33">
        <v>0.0</v>
      </c>
      <c r="K41" s="193">
        <v>28.0</v>
      </c>
      <c r="L41" s="193">
        <v>38.0</v>
      </c>
      <c r="M41" s="41">
        <v>66.0</v>
      </c>
    </row>
    <row r="42">
      <c r="A42" s="43" t="s">
        <v>29</v>
      </c>
      <c r="B42" s="110" t="s">
        <v>250</v>
      </c>
      <c r="C42" s="33">
        <v>0.0</v>
      </c>
      <c r="D42" s="33">
        <v>0.0</v>
      </c>
      <c r="E42" s="33">
        <v>62.0</v>
      </c>
      <c r="F42" s="33">
        <v>0.0</v>
      </c>
      <c r="G42" s="33">
        <v>0.0</v>
      </c>
      <c r="H42" s="33">
        <v>0.0</v>
      </c>
      <c r="I42" s="33">
        <v>0.0</v>
      </c>
      <c r="J42" s="33">
        <v>4.0</v>
      </c>
      <c r="K42" s="193">
        <v>34.0</v>
      </c>
      <c r="L42" s="193">
        <v>32.0</v>
      </c>
      <c r="M42" s="41">
        <v>66.0</v>
      </c>
    </row>
    <row r="43">
      <c r="A43" s="214" t="s">
        <v>29</v>
      </c>
      <c r="B43" s="219" t="s">
        <v>252</v>
      </c>
      <c r="C43" s="216">
        <v>0.0</v>
      </c>
      <c r="D43" s="216">
        <v>36.0</v>
      </c>
      <c r="E43" s="216">
        <v>0.0</v>
      </c>
      <c r="F43" s="216">
        <v>0.0</v>
      </c>
      <c r="G43" s="216">
        <v>0.0</v>
      </c>
      <c r="H43" s="216">
        <v>0.0</v>
      </c>
      <c r="I43" s="216">
        <v>0.0</v>
      </c>
      <c r="J43" s="216">
        <v>0.0</v>
      </c>
      <c r="K43" s="217">
        <v>56.0</v>
      </c>
      <c r="L43" s="217">
        <v>20.0</v>
      </c>
      <c r="M43" s="218">
        <v>76.0</v>
      </c>
    </row>
    <row r="44">
      <c r="A44" s="43" t="s">
        <v>29</v>
      </c>
      <c r="B44" s="110" t="s">
        <v>254</v>
      </c>
      <c r="C44" s="33">
        <v>8.0</v>
      </c>
      <c r="D44" s="33">
        <v>36.0</v>
      </c>
      <c r="E44" s="33">
        <v>15.0</v>
      </c>
      <c r="F44" s="33">
        <v>0.0</v>
      </c>
      <c r="G44" s="33">
        <v>0.0</v>
      </c>
      <c r="H44" s="33">
        <v>2.0</v>
      </c>
      <c r="I44" s="33">
        <v>1.0</v>
      </c>
      <c r="J44" s="33">
        <v>1.0</v>
      </c>
      <c r="K44" s="193">
        <v>26.0</v>
      </c>
      <c r="L44" s="193">
        <v>37.0</v>
      </c>
      <c r="M44" s="41">
        <v>63.0</v>
      </c>
    </row>
    <row r="45">
      <c r="A45" s="214" t="s">
        <v>29</v>
      </c>
      <c r="B45" s="219" t="s">
        <v>256</v>
      </c>
      <c r="C45" s="216">
        <v>24.0</v>
      </c>
      <c r="D45" s="216">
        <v>4.0</v>
      </c>
      <c r="E45" s="216">
        <v>6.0</v>
      </c>
      <c r="F45" s="216">
        <v>0.0</v>
      </c>
      <c r="G45" s="216">
        <v>4.0</v>
      </c>
      <c r="H45" s="216">
        <v>6.0</v>
      </c>
      <c r="I45" s="216">
        <v>2.0</v>
      </c>
      <c r="J45" s="216">
        <v>2.0</v>
      </c>
      <c r="K45" s="217">
        <v>25.0</v>
      </c>
      <c r="L45" s="217">
        <v>23.0</v>
      </c>
      <c r="M45" s="218">
        <v>48.0</v>
      </c>
    </row>
    <row r="46">
      <c r="A46" s="43" t="s">
        <v>29</v>
      </c>
      <c r="B46" s="110" t="s">
        <v>258</v>
      </c>
      <c r="C46" s="33">
        <v>8.0</v>
      </c>
      <c r="D46" s="33">
        <v>32.0</v>
      </c>
      <c r="E46" s="33">
        <v>0.0</v>
      </c>
      <c r="F46" s="33">
        <v>0.0</v>
      </c>
      <c r="G46" s="33">
        <v>0.0</v>
      </c>
      <c r="H46" s="33">
        <v>6.0</v>
      </c>
      <c r="I46" s="33">
        <v>2.0</v>
      </c>
      <c r="J46" s="33">
        <v>0.0</v>
      </c>
      <c r="K46" s="193">
        <v>22.0</v>
      </c>
      <c r="L46" s="193">
        <v>26.0</v>
      </c>
      <c r="M46" s="41">
        <v>48.0</v>
      </c>
    </row>
    <row r="47">
      <c r="A47" s="43" t="s">
        <v>29</v>
      </c>
      <c r="B47" s="110" t="s">
        <v>260</v>
      </c>
      <c r="C47" s="33">
        <v>40.0</v>
      </c>
      <c r="D47" s="33">
        <v>34.0</v>
      </c>
      <c r="E47" s="33">
        <v>0.0</v>
      </c>
      <c r="F47" s="33">
        <v>0.0</v>
      </c>
      <c r="G47" s="33">
        <v>0.0</v>
      </c>
      <c r="H47" s="33">
        <v>2.0</v>
      </c>
      <c r="I47" s="33">
        <v>0.0</v>
      </c>
      <c r="J47" s="33">
        <v>0.0</v>
      </c>
      <c r="K47" s="193">
        <v>28.0</v>
      </c>
      <c r="L47" s="193">
        <v>48.0</v>
      </c>
      <c r="M47" s="41">
        <v>76.0</v>
      </c>
    </row>
    <row r="48">
      <c r="A48" s="43" t="s">
        <v>29</v>
      </c>
      <c r="B48" s="110" t="s">
        <v>262</v>
      </c>
      <c r="C48" s="33">
        <v>16.0</v>
      </c>
      <c r="D48" s="33">
        <v>35.0</v>
      </c>
      <c r="E48" s="33">
        <v>5.0</v>
      </c>
      <c r="F48" s="33">
        <v>0.0</v>
      </c>
      <c r="G48" s="33">
        <v>0.0</v>
      </c>
      <c r="H48" s="33">
        <v>1.0</v>
      </c>
      <c r="I48" s="33">
        <v>0.0</v>
      </c>
      <c r="J48" s="33">
        <v>0.0</v>
      </c>
      <c r="K48" s="193">
        <v>32.0</v>
      </c>
      <c r="L48" s="193">
        <v>25.0</v>
      </c>
      <c r="M48" s="41">
        <v>57.0</v>
      </c>
    </row>
    <row r="49">
      <c r="A49" s="214" t="s">
        <v>29</v>
      </c>
      <c r="B49" s="219" t="s">
        <v>264</v>
      </c>
      <c r="C49" s="216">
        <v>8.0</v>
      </c>
      <c r="D49" s="216">
        <v>20.0</v>
      </c>
      <c r="E49" s="216">
        <v>0.0</v>
      </c>
      <c r="F49" s="216">
        <v>0.0</v>
      </c>
      <c r="G49" s="216">
        <v>0.0</v>
      </c>
      <c r="H49" s="216">
        <v>0.0</v>
      </c>
      <c r="I49" s="216">
        <v>0.0</v>
      </c>
      <c r="J49" s="216">
        <v>0.0</v>
      </c>
      <c r="K49" s="217">
        <v>28.0</v>
      </c>
      <c r="L49" s="217">
        <v>0.0</v>
      </c>
      <c r="M49" s="218">
        <v>28.0</v>
      </c>
    </row>
    <row r="50">
      <c r="A50" s="43" t="s">
        <v>29</v>
      </c>
      <c r="B50" s="110" t="s">
        <v>266</v>
      </c>
      <c r="C50" s="33">
        <v>8.0</v>
      </c>
      <c r="D50" s="33">
        <v>27.0</v>
      </c>
      <c r="E50" s="33">
        <v>46.0</v>
      </c>
      <c r="F50" s="33">
        <v>0.0</v>
      </c>
      <c r="G50" s="33">
        <v>0.0</v>
      </c>
      <c r="H50" s="33">
        <v>0.0</v>
      </c>
      <c r="I50" s="33">
        <v>0.0</v>
      </c>
      <c r="J50" s="33">
        <v>0.0</v>
      </c>
      <c r="K50" s="193">
        <v>51.0</v>
      </c>
      <c r="L50" s="193">
        <v>30.0</v>
      </c>
      <c r="M50" s="41">
        <v>81.0</v>
      </c>
    </row>
    <row r="51">
      <c r="A51" s="214" t="s">
        <v>29</v>
      </c>
      <c r="B51" s="219" t="s">
        <v>268</v>
      </c>
      <c r="C51" s="216">
        <v>0.0</v>
      </c>
      <c r="D51" s="216">
        <v>16.0</v>
      </c>
      <c r="E51" s="216">
        <v>0.0</v>
      </c>
      <c r="F51" s="216">
        <v>0.0</v>
      </c>
      <c r="G51" s="216">
        <v>0.0</v>
      </c>
      <c r="H51" s="216">
        <v>0.0</v>
      </c>
      <c r="I51" s="216">
        <v>0.0</v>
      </c>
      <c r="J51" s="216">
        <v>0.0</v>
      </c>
      <c r="K51" s="217">
        <v>36.0</v>
      </c>
      <c r="L51" s="217">
        <v>20.0</v>
      </c>
      <c r="M51" s="218">
        <v>56.0</v>
      </c>
    </row>
    <row r="52">
      <c r="A52" s="214" t="s">
        <v>29</v>
      </c>
      <c r="B52" s="219" t="s">
        <v>270</v>
      </c>
      <c r="C52" s="216">
        <v>0.0</v>
      </c>
      <c r="D52" s="216">
        <v>63.0</v>
      </c>
      <c r="E52" s="216">
        <v>48.0</v>
      </c>
      <c r="F52" s="216">
        <v>0.0</v>
      </c>
      <c r="G52" s="216">
        <v>12.0</v>
      </c>
      <c r="H52" s="216">
        <v>0.0</v>
      </c>
      <c r="I52" s="216">
        <v>0.0</v>
      </c>
      <c r="J52" s="216">
        <v>0.0</v>
      </c>
      <c r="K52" s="217">
        <v>123.0</v>
      </c>
      <c r="L52" s="217">
        <v>0.0</v>
      </c>
      <c r="M52" s="218">
        <v>123.0</v>
      </c>
    </row>
    <row r="53">
      <c r="A53" s="43" t="s">
        <v>29</v>
      </c>
      <c r="B53" s="110" t="s">
        <v>272</v>
      </c>
      <c r="C53" s="33">
        <v>24.0</v>
      </c>
      <c r="D53" s="33">
        <v>20.0</v>
      </c>
      <c r="E53" s="33">
        <v>14.0</v>
      </c>
      <c r="F53" s="33">
        <v>0.0</v>
      </c>
      <c r="G53" s="33">
        <v>0.0</v>
      </c>
      <c r="H53" s="33">
        <v>0.0</v>
      </c>
      <c r="I53" s="33">
        <v>0.0</v>
      </c>
      <c r="J53" s="33">
        <v>0.0</v>
      </c>
      <c r="K53" s="193">
        <v>28.0</v>
      </c>
      <c r="L53" s="193">
        <v>30.0</v>
      </c>
      <c r="M53" s="41">
        <v>58.0</v>
      </c>
    </row>
    <row r="54">
      <c r="A54" s="214" t="s">
        <v>29</v>
      </c>
      <c r="B54" s="219" t="s">
        <v>274</v>
      </c>
      <c r="C54" s="216">
        <v>0.0</v>
      </c>
      <c r="D54" s="216">
        <v>40.0</v>
      </c>
      <c r="E54" s="216">
        <v>0.0</v>
      </c>
      <c r="F54" s="216">
        <v>0.0</v>
      </c>
      <c r="G54" s="216">
        <v>0.0</v>
      </c>
      <c r="H54" s="216">
        <v>0.0</v>
      </c>
      <c r="I54" s="216">
        <v>0.0</v>
      </c>
      <c r="J54" s="216">
        <v>0.0</v>
      </c>
      <c r="K54" s="217">
        <v>40.0</v>
      </c>
      <c r="L54" s="217">
        <v>0.0</v>
      </c>
      <c r="M54" s="218">
        <v>40.0</v>
      </c>
    </row>
    <row r="55">
      <c r="A55" s="214" t="s">
        <v>29</v>
      </c>
      <c r="B55" s="219" t="s">
        <v>276</v>
      </c>
      <c r="C55" s="216">
        <v>0.0</v>
      </c>
      <c r="D55" s="216">
        <v>20.0</v>
      </c>
      <c r="E55" s="216">
        <v>16.0</v>
      </c>
      <c r="F55" s="216">
        <v>0.0</v>
      </c>
      <c r="G55" s="216">
        <v>0.0</v>
      </c>
      <c r="H55" s="216">
        <v>0.0</v>
      </c>
      <c r="I55" s="216">
        <v>0.0</v>
      </c>
      <c r="J55" s="216">
        <v>0.0</v>
      </c>
      <c r="K55" s="217">
        <v>56.0</v>
      </c>
      <c r="L55" s="217">
        <v>20.0</v>
      </c>
      <c r="M55" s="218">
        <v>76.0</v>
      </c>
    </row>
    <row r="56">
      <c r="A56" s="214" t="s">
        <v>29</v>
      </c>
      <c r="B56" s="219" t="s">
        <v>278</v>
      </c>
      <c r="C56" s="216">
        <v>0.0</v>
      </c>
      <c r="D56" s="216">
        <v>8.0</v>
      </c>
      <c r="E56" s="216">
        <v>0.0</v>
      </c>
      <c r="F56" s="216">
        <v>0.0</v>
      </c>
      <c r="G56" s="216">
        <v>0.0</v>
      </c>
      <c r="H56" s="216">
        <v>0.0</v>
      </c>
      <c r="I56" s="216">
        <v>0.0</v>
      </c>
      <c r="J56" s="216">
        <v>0.0</v>
      </c>
      <c r="K56" s="217">
        <v>28.0</v>
      </c>
      <c r="L56" s="217">
        <v>20.0</v>
      </c>
      <c r="M56" s="218">
        <v>48.0</v>
      </c>
    </row>
    <row r="57">
      <c r="A57" s="214" t="s">
        <v>29</v>
      </c>
      <c r="B57" s="219" t="s">
        <v>280</v>
      </c>
      <c r="C57" s="216">
        <v>0.0</v>
      </c>
      <c r="D57" s="216">
        <v>16.0</v>
      </c>
      <c r="E57" s="216">
        <v>56.0</v>
      </c>
      <c r="F57" s="216">
        <v>0.0</v>
      </c>
      <c r="G57" s="216">
        <v>0.0</v>
      </c>
      <c r="H57" s="216">
        <v>0.0</v>
      </c>
      <c r="I57" s="216">
        <v>0.0</v>
      </c>
      <c r="J57" s="216">
        <v>0.0</v>
      </c>
      <c r="K57" s="217">
        <v>52.0</v>
      </c>
      <c r="L57" s="217">
        <v>20.0</v>
      </c>
      <c r="M57" s="218">
        <v>72.0</v>
      </c>
    </row>
    <row r="58">
      <c r="A58" s="214" t="s">
        <v>29</v>
      </c>
      <c r="B58" s="219" t="s">
        <v>282</v>
      </c>
      <c r="C58" s="216">
        <v>0.0</v>
      </c>
      <c r="D58" s="216">
        <v>0.0</v>
      </c>
      <c r="E58" s="216">
        <v>52.0</v>
      </c>
      <c r="F58" s="216">
        <v>0.0</v>
      </c>
      <c r="G58" s="216">
        <v>0.0</v>
      </c>
      <c r="H58" s="216">
        <v>0.0</v>
      </c>
      <c r="I58" s="216">
        <v>0.0</v>
      </c>
      <c r="J58" s="216">
        <v>0.0</v>
      </c>
      <c r="K58" s="217">
        <v>52.0</v>
      </c>
      <c r="L58" s="217">
        <v>0.0</v>
      </c>
      <c r="M58" s="218">
        <v>52.0</v>
      </c>
    </row>
    <row r="59">
      <c r="A59" s="214" t="s">
        <v>29</v>
      </c>
      <c r="B59" s="219" t="s">
        <v>284</v>
      </c>
      <c r="C59" s="216">
        <v>8.0</v>
      </c>
      <c r="D59" s="216">
        <v>20.0</v>
      </c>
      <c r="E59" s="216">
        <v>12.0</v>
      </c>
      <c r="F59" s="216">
        <v>0.0</v>
      </c>
      <c r="G59" s="216">
        <v>0.0</v>
      </c>
      <c r="H59" s="216">
        <v>0.0</v>
      </c>
      <c r="I59" s="216">
        <v>0.0</v>
      </c>
      <c r="J59" s="216">
        <v>1.0</v>
      </c>
      <c r="K59" s="217">
        <v>29.0</v>
      </c>
      <c r="L59" s="217">
        <v>12.0</v>
      </c>
      <c r="M59" s="218">
        <v>41.0</v>
      </c>
    </row>
    <row r="60">
      <c r="A60" s="43" t="s">
        <v>29</v>
      </c>
      <c r="B60" s="110" t="s">
        <v>286</v>
      </c>
      <c r="C60" s="33">
        <v>0.0</v>
      </c>
      <c r="D60" s="33">
        <v>40.0</v>
      </c>
      <c r="E60" s="33">
        <v>42.0</v>
      </c>
      <c r="F60" s="33">
        <v>0.0</v>
      </c>
      <c r="G60" s="33">
        <v>0.0</v>
      </c>
      <c r="H60" s="33">
        <v>0.0</v>
      </c>
      <c r="I60" s="33">
        <v>0.0</v>
      </c>
      <c r="J60" s="33">
        <v>0.0</v>
      </c>
      <c r="K60" s="193">
        <v>72.0</v>
      </c>
      <c r="L60" s="193">
        <v>50.0</v>
      </c>
      <c r="M60" s="41">
        <v>122.0</v>
      </c>
    </row>
    <row r="61">
      <c r="A61" s="214" t="s">
        <v>29</v>
      </c>
      <c r="B61" s="219" t="s">
        <v>288</v>
      </c>
      <c r="C61" s="216">
        <v>0.0</v>
      </c>
      <c r="D61" s="216">
        <v>0.0</v>
      </c>
      <c r="E61" s="216">
        <v>8.0</v>
      </c>
      <c r="F61" s="216">
        <v>0.0</v>
      </c>
      <c r="G61" s="216">
        <v>0.0</v>
      </c>
      <c r="H61" s="216">
        <v>0.0</v>
      </c>
      <c r="I61" s="216">
        <v>0.0</v>
      </c>
      <c r="J61" s="216">
        <v>0.0</v>
      </c>
      <c r="K61" s="217">
        <v>28.0</v>
      </c>
      <c r="L61" s="217">
        <v>20.0</v>
      </c>
      <c r="M61" s="218">
        <v>48.0</v>
      </c>
    </row>
    <row r="62">
      <c r="A62" s="43" t="s">
        <v>29</v>
      </c>
      <c r="B62" s="110" t="s">
        <v>290</v>
      </c>
      <c r="C62" s="33">
        <v>8.0</v>
      </c>
      <c r="D62" s="33">
        <v>16.0</v>
      </c>
      <c r="E62" s="33">
        <v>38.0</v>
      </c>
      <c r="F62" s="33">
        <v>0.0</v>
      </c>
      <c r="G62" s="33">
        <v>4.0</v>
      </c>
      <c r="H62" s="33">
        <v>7.0</v>
      </c>
      <c r="I62" s="33">
        <v>0.0</v>
      </c>
      <c r="J62" s="33">
        <v>1.0</v>
      </c>
      <c r="K62" s="193">
        <v>44.0</v>
      </c>
      <c r="L62" s="193">
        <v>30.0</v>
      </c>
      <c r="M62" s="41">
        <v>74.0</v>
      </c>
    </row>
    <row r="63">
      <c r="A63" s="43" t="s">
        <v>29</v>
      </c>
      <c r="B63" s="110" t="s">
        <v>292</v>
      </c>
      <c r="C63" s="33">
        <v>0.0</v>
      </c>
      <c r="D63" s="33">
        <v>44.0</v>
      </c>
      <c r="E63" s="33">
        <v>26.0</v>
      </c>
      <c r="F63" s="33">
        <v>0.0</v>
      </c>
      <c r="G63" s="33">
        <v>0.0</v>
      </c>
      <c r="H63" s="33">
        <v>0.0</v>
      </c>
      <c r="I63" s="33">
        <v>0.0</v>
      </c>
      <c r="J63" s="33">
        <v>0.0</v>
      </c>
      <c r="K63" s="193">
        <v>64.0</v>
      </c>
      <c r="L63" s="193">
        <v>46.0</v>
      </c>
      <c r="M63" s="41">
        <v>110.0</v>
      </c>
    </row>
    <row r="64">
      <c r="A64" s="43" t="s">
        <v>29</v>
      </c>
      <c r="B64" s="110" t="s">
        <v>294</v>
      </c>
      <c r="C64" s="33">
        <v>0.0</v>
      </c>
      <c r="D64" s="33">
        <v>44.0</v>
      </c>
      <c r="E64" s="33">
        <v>26.0</v>
      </c>
      <c r="F64" s="33">
        <v>0.0</v>
      </c>
      <c r="G64" s="33">
        <v>0.0</v>
      </c>
      <c r="H64" s="33">
        <v>0.0</v>
      </c>
      <c r="I64" s="33">
        <v>0.0</v>
      </c>
      <c r="J64" s="33">
        <v>0.0</v>
      </c>
      <c r="K64" s="193">
        <v>36.0</v>
      </c>
      <c r="L64" s="193">
        <v>34.0</v>
      </c>
      <c r="M64" s="41">
        <v>70.0</v>
      </c>
    </row>
    <row r="65">
      <c r="A65" s="214" t="s">
        <v>29</v>
      </c>
      <c r="B65" s="219" t="s">
        <v>296</v>
      </c>
      <c r="C65" s="216">
        <v>0.0</v>
      </c>
      <c r="D65" s="216">
        <v>29.0</v>
      </c>
      <c r="E65" s="216">
        <v>7.0</v>
      </c>
      <c r="F65" s="216">
        <v>0.0</v>
      </c>
      <c r="G65" s="216">
        <v>0.0</v>
      </c>
      <c r="H65" s="216">
        <v>0.0</v>
      </c>
      <c r="I65" s="216">
        <v>0.0</v>
      </c>
      <c r="J65" s="216">
        <v>0.0</v>
      </c>
      <c r="K65" s="217">
        <v>36.0</v>
      </c>
      <c r="L65" s="217">
        <v>0.0</v>
      </c>
      <c r="M65" s="218">
        <v>36.0</v>
      </c>
    </row>
    <row r="66">
      <c r="A66" s="43" t="s">
        <v>29</v>
      </c>
      <c r="B66" s="110" t="s">
        <v>298</v>
      </c>
      <c r="C66" s="6">
        <v>0.0</v>
      </c>
      <c r="D66" s="6">
        <v>40.0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76">
        <v>52.0</v>
      </c>
      <c r="L66" s="76">
        <v>28.0</v>
      </c>
      <c r="M66" s="41">
        <v>80.0</v>
      </c>
    </row>
  </sheetData>
  <mergeCells count="3">
    <mergeCell ref="B1:B2"/>
    <mergeCell ref="C1:J1"/>
    <mergeCell ref="M1:M2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9.13"/>
    <col customWidth="1" min="14" max="14" width="24.13"/>
  </cols>
  <sheetData>
    <row r="1">
      <c r="A1" s="189"/>
      <c r="B1" s="10" t="s">
        <v>4</v>
      </c>
      <c r="C1" s="11" t="s">
        <v>5</v>
      </c>
      <c r="D1" s="3"/>
      <c r="E1" s="3"/>
      <c r="F1" s="3"/>
      <c r="G1" s="3"/>
      <c r="H1" s="3"/>
      <c r="I1" s="3"/>
      <c r="J1" s="4"/>
      <c r="K1" s="190"/>
      <c r="L1" s="190"/>
      <c r="M1" s="12" t="s">
        <v>556</v>
      </c>
      <c r="N1" s="13" t="s">
        <v>7</v>
      </c>
    </row>
    <row r="2">
      <c r="A2" s="189"/>
      <c r="B2" s="19"/>
      <c r="C2" s="20" t="s">
        <v>16</v>
      </c>
      <c r="D2" s="14" t="s">
        <v>17</v>
      </c>
      <c r="E2" s="14" t="s">
        <v>18</v>
      </c>
      <c r="F2" s="14" t="s">
        <v>19</v>
      </c>
      <c r="G2" s="14" t="s">
        <v>20</v>
      </c>
      <c r="H2" s="14" t="s">
        <v>21</v>
      </c>
      <c r="I2" s="14" t="s">
        <v>22</v>
      </c>
      <c r="J2" s="14" t="s">
        <v>23</v>
      </c>
      <c r="K2" s="191" t="s">
        <v>557</v>
      </c>
      <c r="L2" s="191" t="s">
        <v>558</v>
      </c>
      <c r="M2" s="19"/>
      <c r="N2" s="19"/>
    </row>
    <row r="3">
      <c r="A3" s="220" t="s">
        <v>29</v>
      </c>
      <c r="B3" s="221" t="s">
        <v>171</v>
      </c>
      <c r="C3" s="216">
        <v>0.0</v>
      </c>
      <c r="D3" s="216">
        <v>21.0</v>
      </c>
      <c r="E3" s="216">
        <v>38.0</v>
      </c>
      <c r="F3" s="216">
        <v>0.0</v>
      </c>
      <c r="G3" s="216">
        <v>0.0</v>
      </c>
      <c r="H3" s="216">
        <v>0.0</v>
      </c>
      <c r="I3" s="216">
        <v>0.0</v>
      </c>
      <c r="J3" s="216">
        <v>0.0</v>
      </c>
      <c r="K3" s="217">
        <v>59.0</v>
      </c>
      <c r="L3" s="217">
        <v>0.0</v>
      </c>
      <c r="M3" s="222">
        <v>59.0</v>
      </c>
      <c r="N3" s="223"/>
    </row>
    <row r="4">
      <c r="A4" s="214" t="s">
        <v>29</v>
      </c>
      <c r="B4" s="215" t="s">
        <v>173</v>
      </c>
      <c r="C4" s="216">
        <v>0.0</v>
      </c>
      <c r="D4" s="216">
        <v>40.0</v>
      </c>
      <c r="E4" s="216">
        <v>14.0</v>
      </c>
      <c r="F4" s="216">
        <v>0.0</v>
      </c>
      <c r="G4" s="216">
        <v>0.0</v>
      </c>
      <c r="H4" s="216">
        <v>0.0</v>
      </c>
      <c r="I4" s="216">
        <v>0.0</v>
      </c>
      <c r="J4" s="216">
        <v>0.0</v>
      </c>
      <c r="K4" s="217">
        <v>54.0</v>
      </c>
      <c r="L4" s="224">
        <v>0.0</v>
      </c>
      <c r="M4" s="218">
        <v>54.0</v>
      </c>
      <c r="N4" s="225"/>
    </row>
    <row r="5">
      <c r="A5" s="43" t="s">
        <v>29</v>
      </c>
      <c r="B5" s="107" t="s">
        <v>175</v>
      </c>
      <c r="C5" s="33">
        <v>0.0</v>
      </c>
      <c r="D5" s="33">
        <v>32.0</v>
      </c>
      <c r="E5" s="33">
        <v>12.0</v>
      </c>
      <c r="F5" s="33">
        <v>0.0</v>
      </c>
      <c r="G5" s="33">
        <v>0.0</v>
      </c>
      <c r="H5" s="33">
        <v>0.0</v>
      </c>
      <c r="I5" s="33">
        <v>0.0</v>
      </c>
      <c r="J5" s="33">
        <v>0.0</v>
      </c>
      <c r="K5" s="195">
        <v>44.0</v>
      </c>
      <c r="L5" s="76">
        <v>40.0</v>
      </c>
      <c r="M5" s="41">
        <v>84.0</v>
      </c>
      <c r="N5" s="44" t="s">
        <v>42</v>
      </c>
    </row>
    <row r="6">
      <c r="A6" s="214" t="s">
        <v>29</v>
      </c>
      <c r="B6" s="219" t="s">
        <v>177</v>
      </c>
      <c r="C6" s="216">
        <v>0.0</v>
      </c>
      <c r="D6" s="216">
        <v>25.0</v>
      </c>
      <c r="E6" s="216">
        <v>30.0</v>
      </c>
      <c r="F6" s="216">
        <v>0.0</v>
      </c>
      <c r="G6" s="216">
        <v>0.0</v>
      </c>
      <c r="H6" s="216">
        <v>0.0</v>
      </c>
      <c r="I6" s="216">
        <v>0.0</v>
      </c>
      <c r="J6" s="216">
        <v>0.0</v>
      </c>
      <c r="K6" s="217">
        <v>55.0</v>
      </c>
      <c r="L6" s="224">
        <v>0.0</v>
      </c>
      <c r="M6" s="218">
        <v>55.0</v>
      </c>
      <c r="N6" s="225"/>
    </row>
    <row r="7">
      <c r="A7" s="100" t="s">
        <v>29</v>
      </c>
      <c r="B7" s="111" t="s">
        <v>179</v>
      </c>
      <c r="C7" s="33">
        <v>8.0</v>
      </c>
      <c r="D7" s="33">
        <v>24.0</v>
      </c>
      <c r="E7" s="33">
        <v>18.0</v>
      </c>
      <c r="F7" s="33">
        <v>0.0</v>
      </c>
      <c r="G7" s="33">
        <v>4.0</v>
      </c>
      <c r="H7" s="33">
        <v>0.0</v>
      </c>
      <c r="I7" s="33">
        <v>0.0</v>
      </c>
      <c r="J7" s="33">
        <v>0.0</v>
      </c>
      <c r="K7" s="195">
        <v>28.0</v>
      </c>
      <c r="L7" s="226">
        <v>26.0</v>
      </c>
      <c r="M7" s="103">
        <v>54.0</v>
      </c>
      <c r="N7" s="104"/>
    </row>
    <row r="8">
      <c r="A8" s="214" t="s">
        <v>29</v>
      </c>
      <c r="B8" s="219" t="s">
        <v>181</v>
      </c>
      <c r="C8" s="216">
        <v>0.0</v>
      </c>
      <c r="D8" s="216">
        <v>0.0</v>
      </c>
      <c r="E8" s="216">
        <v>20.0</v>
      </c>
      <c r="F8" s="216">
        <v>0.0</v>
      </c>
      <c r="G8" s="216">
        <v>0.0</v>
      </c>
      <c r="H8" s="216">
        <v>0.0</v>
      </c>
      <c r="I8" s="216">
        <v>0.0</v>
      </c>
      <c r="J8" s="216">
        <v>0.0</v>
      </c>
      <c r="K8" s="217">
        <v>40.0</v>
      </c>
      <c r="L8" s="224">
        <v>20.0</v>
      </c>
      <c r="M8" s="218">
        <v>60.0</v>
      </c>
      <c r="N8" s="227" t="s">
        <v>42</v>
      </c>
    </row>
    <row r="9">
      <c r="A9" s="100" t="s">
        <v>29</v>
      </c>
      <c r="B9" s="111" t="s">
        <v>183</v>
      </c>
      <c r="C9" s="33">
        <v>0.0</v>
      </c>
      <c r="D9" s="33">
        <v>44.0</v>
      </c>
      <c r="E9" s="33">
        <v>43.0</v>
      </c>
      <c r="F9" s="33">
        <v>0.0</v>
      </c>
      <c r="G9" s="33">
        <v>0.0</v>
      </c>
      <c r="H9" s="33">
        <v>0.0</v>
      </c>
      <c r="I9" s="33">
        <v>0.0</v>
      </c>
      <c r="J9" s="33">
        <v>0.0</v>
      </c>
      <c r="K9" s="195">
        <v>54.0</v>
      </c>
      <c r="L9" s="226">
        <v>33.0</v>
      </c>
      <c r="M9" s="103">
        <v>87.0</v>
      </c>
      <c r="N9" s="104"/>
    </row>
    <row r="10">
      <c r="A10" s="214" t="s">
        <v>29</v>
      </c>
      <c r="B10" s="219" t="s">
        <v>185</v>
      </c>
      <c r="C10" s="216">
        <v>0.0</v>
      </c>
      <c r="D10" s="216">
        <v>28.0</v>
      </c>
      <c r="E10" s="216">
        <v>0.0</v>
      </c>
      <c r="F10" s="216">
        <v>0.0</v>
      </c>
      <c r="G10" s="216">
        <v>0.0</v>
      </c>
      <c r="H10" s="216">
        <v>2.0</v>
      </c>
      <c r="I10" s="216">
        <v>0.0</v>
      </c>
      <c r="J10" s="216">
        <v>3.0</v>
      </c>
      <c r="K10" s="217">
        <v>25.0</v>
      </c>
      <c r="L10" s="224">
        <v>8.0</v>
      </c>
      <c r="M10" s="218">
        <v>33.0</v>
      </c>
      <c r="N10" s="225"/>
    </row>
    <row r="11">
      <c r="A11" s="43" t="s">
        <v>29</v>
      </c>
      <c r="B11" s="110" t="s">
        <v>187</v>
      </c>
      <c r="C11" s="33">
        <v>8.0</v>
      </c>
      <c r="D11" s="33">
        <v>16.0</v>
      </c>
      <c r="E11" s="33">
        <v>32.0</v>
      </c>
      <c r="F11" s="33">
        <v>0.0</v>
      </c>
      <c r="G11" s="33">
        <v>0.0</v>
      </c>
      <c r="H11" s="33">
        <v>0.0</v>
      </c>
      <c r="I11" s="33">
        <v>0.0</v>
      </c>
      <c r="J11" s="33">
        <v>0.0</v>
      </c>
      <c r="K11" s="195">
        <v>50.0</v>
      </c>
      <c r="L11" s="76">
        <v>46.0</v>
      </c>
      <c r="M11" s="41">
        <v>96.0</v>
      </c>
      <c r="N11" s="44" t="s">
        <v>34</v>
      </c>
    </row>
    <row r="12">
      <c r="A12" s="214" t="s">
        <v>29</v>
      </c>
      <c r="B12" s="219" t="s">
        <v>189</v>
      </c>
      <c r="C12" s="216">
        <v>0.0</v>
      </c>
      <c r="D12" s="216">
        <v>24.0</v>
      </c>
      <c r="E12" s="216">
        <v>14.0</v>
      </c>
      <c r="F12" s="216">
        <v>0.0</v>
      </c>
      <c r="G12" s="216">
        <v>0.0</v>
      </c>
      <c r="H12" s="216">
        <v>0.0</v>
      </c>
      <c r="I12" s="216">
        <v>0.0</v>
      </c>
      <c r="J12" s="216">
        <v>1.0</v>
      </c>
      <c r="K12" s="217">
        <v>25.0</v>
      </c>
      <c r="L12" s="224">
        <v>14.0</v>
      </c>
      <c r="M12" s="218">
        <v>39.0</v>
      </c>
      <c r="N12" s="225"/>
    </row>
    <row r="13">
      <c r="A13" s="214" t="s">
        <v>29</v>
      </c>
      <c r="B13" s="219" t="s">
        <v>191</v>
      </c>
      <c r="C13" s="216">
        <v>0.0</v>
      </c>
      <c r="D13" s="216">
        <v>80.0</v>
      </c>
      <c r="E13" s="216">
        <v>0.0</v>
      </c>
      <c r="F13" s="216">
        <v>0.0</v>
      </c>
      <c r="G13" s="216">
        <v>0.0</v>
      </c>
      <c r="H13" s="216">
        <v>0.0</v>
      </c>
      <c r="I13" s="216">
        <v>0.0</v>
      </c>
      <c r="J13" s="216">
        <v>2.0</v>
      </c>
      <c r="K13" s="217">
        <v>82.0</v>
      </c>
      <c r="L13" s="224">
        <v>0.0</v>
      </c>
      <c r="M13" s="218">
        <v>82.0</v>
      </c>
      <c r="N13" s="225"/>
    </row>
    <row r="14">
      <c r="A14" s="214" t="s">
        <v>29</v>
      </c>
      <c r="B14" s="219" t="s">
        <v>193</v>
      </c>
      <c r="C14" s="216">
        <v>0.0</v>
      </c>
      <c r="D14" s="216">
        <v>0.0</v>
      </c>
      <c r="E14" s="216">
        <v>20.0</v>
      </c>
      <c r="F14" s="216">
        <v>0.0</v>
      </c>
      <c r="G14" s="216">
        <v>0.0</v>
      </c>
      <c r="H14" s="216">
        <v>0.0</v>
      </c>
      <c r="I14" s="216">
        <v>0.0</v>
      </c>
      <c r="J14" s="216">
        <v>0.0</v>
      </c>
      <c r="K14" s="217">
        <v>40.0</v>
      </c>
      <c r="L14" s="224">
        <v>20.0</v>
      </c>
      <c r="M14" s="218">
        <v>60.0</v>
      </c>
      <c r="N14" s="227" t="s">
        <v>34</v>
      </c>
    </row>
    <row r="15">
      <c r="A15" s="214" t="s">
        <v>29</v>
      </c>
      <c r="B15" s="219" t="s">
        <v>195</v>
      </c>
      <c r="C15" s="216">
        <v>0.0</v>
      </c>
      <c r="D15" s="216">
        <v>44.0</v>
      </c>
      <c r="E15" s="216">
        <v>0.0</v>
      </c>
      <c r="F15" s="216">
        <v>0.0</v>
      </c>
      <c r="G15" s="216">
        <v>0.0</v>
      </c>
      <c r="H15" s="216">
        <v>0.0</v>
      </c>
      <c r="I15" s="216">
        <v>0.0</v>
      </c>
      <c r="J15" s="216">
        <v>2.0</v>
      </c>
      <c r="K15" s="217">
        <v>66.0</v>
      </c>
      <c r="L15" s="224">
        <v>20.0</v>
      </c>
      <c r="M15" s="218">
        <v>86.0</v>
      </c>
      <c r="N15" s="228" t="s">
        <v>196</v>
      </c>
    </row>
    <row r="16">
      <c r="A16" s="43" t="s">
        <v>29</v>
      </c>
      <c r="B16" s="110" t="s">
        <v>198</v>
      </c>
      <c r="C16" s="33">
        <v>0.0</v>
      </c>
      <c r="D16" s="33">
        <v>28.0</v>
      </c>
      <c r="E16" s="33">
        <v>38.0</v>
      </c>
      <c r="F16" s="33">
        <v>0.0</v>
      </c>
      <c r="G16" s="33">
        <v>0.0</v>
      </c>
      <c r="H16" s="33">
        <v>0.0</v>
      </c>
      <c r="I16" s="33">
        <v>0.0</v>
      </c>
      <c r="J16" s="33">
        <v>0.0</v>
      </c>
      <c r="K16" s="195">
        <v>40.0</v>
      </c>
      <c r="L16" s="226">
        <v>26.0</v>
      </c>
      <c r="M16" s="103">
        <v>66.0</v>
      </c>
      <c r="N16" s="104"/>
    </row>
    <row r="17">
      <c r="A17" s="214" t="s">
        <v>29</v>
      </c>
      <c r="B17" s="219" t="s">
        <v>200</v>
      </c>
      <c r="C17" s="216">
        <v>0.0</v>
      </c>
      <c r="D17" s="216">
        <v>20.0</v>
      </c>
      <c r="E17" s="216">
        <v>0.0</v>
      </c>
      <c r="F17" s="216">
        <v>0.0</v>
      </c>
      <c r="G17" s="216">
        <v>0.0</v>
      </c>
      <c r="H17" s="216">
        <v>0.0</v>
      </c>
      <c r="I17" s="216">
        <v>0.0</v>
      </c>
      <c r="J17" s="216">
        <v>0.0</v>
      </c>
      <c r="K17" s="217">
        <v>40.0</v>
      </c>
      <c r="L17" s="224">
        <v>20.0</v>
      </c>
      <c r="M17" s="218">
        <v>60.0</v>
      </c>
      <c r="N17" s="227" t="s">
        <v>34</v>
      </c>
    </row>
    <row r="18">
      <c r="A18" s="43" t="s">
        <v>29</v>
      </c>
      <c r="B18" s="110" t="s">
        <v>202</v>
      </c>
      <c r="C18" s="33">
        <v>8.0</v>
      </c>
      <c r="D18" s="33">
        <v>56.0</v>
      </c>
      <c r="E18" s="33">
        <v>19.0</v>
      </c>
      <c r="F18" s="33">
        <v>0.0</v>
      </c>
      <c r="G18" s="33">
        <v>0.0</v>
      </c>
      <c r="H18" s="33">
        <v>0.0</v>
      </c>
      <c r="I18" s="33">
        <v>0.0</v>
      </c>
      <c r="J18" s="33">
        <v>0.0</v>
      </c>
      <c r="K18" s="195">
        <v>56.0</v>
      </c>
      <c r="L18" s="76">
        <v>27.0</v>
      </c>
      <c r="M18" s="41">
        <v>83.0</v>
      </c>
      <c r="N18" s="104"/>
    </row>
    <row r="19">
      <c r="A19" s="43" t="s">
        <v>29</v>
      </c>
      <c r="B19" s="110" t="s">
        <v>204</v>
      </c>
      <c r="C19" s="33">
        <v>0.0</v>
      </c>
      <c r="D19" s="33">
        <v>16.0</v>
      </c>
      <c r="E19" s="33">
        <v>18.0</v>
      </c>
      <c r="F19" s="33">
        <v>0.0</v>
      </c>
      <c r="G19" s="33">
        <v>4.0</v>
      </c>
      <c r="H19" s="33">
        <v>0.0</v>
      </c>
      <c r="I19" s="33">
        <v>0.0</v>
      </c>
      <c r="J19" s="33">
        <v>0.0</v>
      </c>
      <c r="K19" s="195">
        <v>40.0</v>
      </c>
      <c r="L19" s="76">
        <v>38.0</v>
      </c>
      <c r="M19" s="41">
        <v>78.0</v>
      </c>
      <c r="N19" s="44" t="s">
        <v>196</v>
      </c>
    </row>
    <row r="20">
      <c r="A20" s="214" t="s">
        <v>29</v>
      </c>
      <c r="B20" s="219" t="s">
        <v>206</v>
      </c>
      <c r="C20" s="216">
        <v>0.0</v>
      </c>
      <c r="D20" s="216">
        <v>97.0</v>
      </c>
      <c r="E20" s="216">
        <v>10.0</v>
      </c>
      <c r="F20" s="216">
        <v>0.0</v>
      </c>
      <c r="G20" s="216">
        <v>0.0</v>
      </c>
      <c r="H20" s="216">
        <v>0.0</v>
      </c>
      <c r="I20" s="216">
        <v>0.0</v>
      </c>
      <c r="J20" s="216">
        <v>0.0</v>
      </c>
      <c r="K20" s="217">
        <v>107.0</v>
      </c>
      <c r="L20" s="224">
        <v>0.0</v>
      </c>
      <c r="M20" s="218">
        <v>107.0</v>
      </c>
      <c r="N20" s="225"/>
    </row>
    <row r="21">
      <c r="A21" s="214" t="s">
        <v>29</v>
      </c>
      <c r="B21" s="219" t="s">
        <v>208</v>
      </c>
      <c r="C21" s="216">
        <v>0.0</v>
      </c>
      <c r="D21" s="216">
        <v>44.0</v>
      </c>
      <c r="E21" s="216">
        <v>0.0</v>
      </c>
      <c r="F21" s="216">
        <v>0.0</v>
      </c>
      <c r="G21" s="216">
        <v>0.0</v>
      </c>
      <c r="H21" s="216">
        <v>0.0</v>
      </c>
      <c r="I21" s="216">
        <v>0.0</v>
      </c>
      <c r="J21" s="216">
        <v>2.0</v>
      </c>
      <c r="K21" s="217">
        <v>46.0</v>
      </c>
      <c r="L21" s="224">
        <v>0.0</v>
      </c>
      <c r="M21" s="218">
        <v>46.0</v>
      </c>
      <c r="N21" s="225"/>
    </row>
    <row r="22">
      <c r="A22" s="43" t="s">
        <v>29</v>
      </c>
      <c r="B22" s="110" t="s">
        <v>210</v>
      </c>
      <c r="C22" s="33">
        <v>16.0</v>
      </c>
      <c r="D22" s="33">
        <v>41.0</v>
      </c>
      <c r="E22" s="33">
        <v>70.0</v>
      </c>
      <c r="F22" s="33">
        <v>0.0</v>
      </c>
      <c r="G22" s="33">
        <v>0.0</v>
      </c>
      <c r="H22" s="33">
        <v>0.0</v>
      </c>
      <c r="I22" s="33">
        <v>0.0</v>
      </c>
      <c r="J22" s="33">
        <v>0.0</v>
      </c>
      <c r="K22" s="193">
        <v>53.0</v>
      </c>
      <c r="L22" s="76">
        <v>74.0</v>
      </c>
      <c r="M22" s="41">
        <v>127.0</v>
      </c>
      <c r="N22" s="104"/>
    </row>
    <row r="23">
      <c r="A23" s="43" t="s">
        <v>29</v>
      </c>
      <c r="B23" s="110" t="s">
        <v>212</v>
      </c>
      <c r="C23" s="33">
        <v>0.0</v>
      </c>
      <c r="D23" s="33">
        <v>48.0</v>
      </c>
      <c r="E23" s="33">
        <v>23.0</v>
      </c>
      <c r="F23" s="33">
        <v>0.0</v>
      </c>
      <c r="G23" s="33">
        <v>0.0</v>
      </c>
      <c r="H23" s="33">
        <v>0.0</v>
      </c>
      <c r="I23" s="33">
        <v>0.0</v>
      </c>
      <c r="J23" s="33">
        <v>0.0</v>
      </c>
      <c r="K23" s="195">
        <v>40.0</v>
      </c>
      <c r="L23" s="76">
        <v>31.0</v>
      </c>
      <c r="M23" s="41">
        <v>71.0</v>
      </c>
      <c r="N23" s="104"/>
    </row>
    <row r="24">
      <c r="A24" s="229" t="s">
        <v>29</v>
      </c>
      <c r="B24" s="230" t="s">
        <v>214</v>
      </c>
      <c r="C24" s="231">
        <v>0.0</v>
      </c>
      <c r="D24" s="231">
        <v>0.0</v>
      </c>
      <c r="E24" s="231">
        <v>0.0</v>
      </c>
      <c r="F24" s="231">
        <v>0.0</v>
      </c>
      <c r="G24" s="231">
        <v>0.0</v>
      </c>
      <c r="H24" s="231">
        <v>0.0</v>
      </c>
      <c r="I24" s="231">
        <v>0.0</v>
      </c>
      <c r="J24" s="231">
        <v>0.0</v>
      </c>
      <c r="K24" s="232">
        <v>0.0</v>
      </c>
      <c r="L24" s="233"/>
      <c r="M24" s="233">
        <v>0.0</v>
      </c>
      <c r="N24" s="234" t="s">
        <v>47</v>
      </c>
    </row>
    <row r="25">
      <c r="A25" s="43" t="s">
        <v>29</v>
      </c>
      <c r="B25" s="110" t="s">
        <v>216</v>
      </c>
      <c r="C25" s="33">
        <v>16.0</v>
      </c>
      <c r="D25" s="33">
        <v>28.0</v>
      </c>
      <c r="E25" s="33">
        <v>8.0</v>
      </c>
      <c r="F25" s="33">
        <v>0.0</v>
      </c>
      <c r="G25" s="33">
        <v>0.0</v>
      </c>
      <c r="H25" s="33">
        <v>0.0</v>
      </c>
      <c r="I25" s="33">
        <v>0.0</v>
      </c>
      <c r="J25" s="33">
        <v>0.0</v>
      </c>
      <c r="K25" s="195">
        <v>56.0</v>
      </c>
      <c r="L25" s="76">
        <v>36.0</v>
      </c>
      <c r="M25" s="41">
        <v>92.0</v>
      </c>
      <c r="N25" s="44" t="s">
        <v>118</v>
      </c>
    </row>
    <row r="26">
      <c r="A26" s="43" t="s">
        <v>29</v>
      </c>
      <c r="B26" s="110" t="s">
        <v>218</v>
      </c>
      <c r="C26" s="33">
        <v>16.0</v>
      </c>
      <c r="D26" s="33">
        <v>24.0</v>
      </c>
      <c r="E26" s="33">
        <v>31.0</v>
      </c>
      <c r="F26" s="33">
        <v>0.0</v>
      </c>
      <c r="G26" s="33">
        <v>8.0</v>
      </c>
      <c r="H26" s="33">
        <v>2.0</v>
      </c>
      <c r="I26" s="33">
        <v>0.0</v>
      </c>
      <c r="J26" s="33">
        <v>1.0</v>
      </c>
      <c r="K26" s="195">
        <v>27.0</v>
      </c>
      <c r="L26" s="226">
        <v>55.0</v>
      </c>
      <c r="M26" s="103">
        <v>82.0</v>
      </c>
      <c r="N26" s="104"/>
    </row>
    <row r="27">
      <c r="A27" s="43" t="s">
        <v>29</v>
      </c>
      <c r="B27" s="110" t="s">
        <v>220</v>
      </c>
      <c r="C27" s="33">
        <v>8.0</v>
      </c>
      <c r="D27" s="33">
        <v>40.0</v>
      </c>
      <c r="E27" s="33">
        <v>12.0</v>
      </c>
      <c r="F27" s="33">
        <v>0.0</v>
      </c>
      <c r="G27" s="33">
        <v>0.0</v>
      </c>
      <c r="H27" s="33">
        <v>0.0</v>
      </c>
      <c r="I27" s="33">
        <v>0.0</v>
      </c>
      <c r="J27" s="33">
        <v>0.0</v>
      </c>
      <c r="K27" s="195">
        <v>32.0</v>
      </c>
      <c r="L27" s="76">
        <v>28.0</v>
      </c>
      <c r="M27" s="41">
        <v>60.0</v>
      </c>
      <c r="N27" s="104"/>
    </row>
    <row r="28">
      <c r="A28" s="214" t="s">
        <v>29</v>
      </c>
      <c r="B28" s="219" t="s">
        <v>222</v>
      </c>
      <c r="C28" s="216">
        <v>0.0</v>
      </c>
      <c r="D28" s="216">
        <v>20.0</v>
      </c>
      <c r="E28" s="216">
        <v>0.0</v>
      </c>
      <c r="F28" s="216">
        <v>0.0</v>
      </c>
      <c r="G28" s="216">
        <v>4.0</v>
      </c>
      <c r="H28" s="216">
        <v>0.0</v>
      </c>
      <c r="I28" s="216">
        <v>0.0</v>
      </c>
      <c r="J28" s="216">
        <v>1.0</v>
      </c>
      <c r="K28" s="217">
        <v>25.0</v>
      </c>
      <c r="L28" s="224">
        <v>0.0</v>
      </c>
      <c r="M28" s="218">
        <v>25.0</v>
      </c>
      <c r="N28" s="225"/>
    </row>
    <row r="29">
      <c r="A29" s="43" t="s">
        <v>29</v>
      </c>
      <c r="B29" s="110" t="s">
        <v>224</v>
      </c>
      <c r="C29" s="33">
        <v>0.0</v>
      </c>
      <c r="D29" s="33">
        <v>24.0</v>
      </c>
      <c r="E29" s="33">
        <v>42.0</v>
      </c>
      <c r="F29" s="33">
        <v>0.0</v>
      </c>
      <c r="G29" s="33">
        <v>0.0</v>
      </c>
      <c r="H29" s="33">
        <v>0.0</v>
      </c>
      <c r="I29" s="33">
        <v>0.0</v>
      </c>
      <c r="J29" s="33">
        <v>0.0</v>
      </c>
      <c r="K29" s="195">
        <v>36.0</v>
      </c>
      <c r="L29" s="226">
        <v>30.0</v>
      </c>
      <c r="M29" s="103">
        <v>66.0</v>
      </c>
      <c r="N29" s="104"/>
    </row>
    <row r="30">
      <c r="A30" s="214" t="s">
        <v>29</v>
      </c>
      <c r="B30" s="219" t="s">
        <v>226</v>
      </c>
      <c r="C30" s="216">
        <v>0.0</v>
      </c>
      <c r="D30" s="216">
        <v>32.0</v>
      </c>
      <c r="E30" s="216">
        <v>0.0</v>
      </c>
      <c r="F30" s="216">
        <v>0.0</v>
      </c>
      <c r="G30" s="216">
        <v>0.0</v>
      </c>
      <c r="H30" s="216">
        <v>0.0</v>
      </c>
      <c r="I30" s="216">
        <v>0.0</v>
      </c>
      <c r="J30" s="216">
        <v>0.0</v>
      </c>
      <c r="K30" s="217">
        <v>32.0</v>
      </c>
      <c r="L30" s="224">
        <v>0.0</v>
      </c>
      <c r="M30" s="218">
        <v>32.0</v>
      </c>
      <c r="N30" s="225"/>
    </row>
    <row r="31">
      <c r="A31" s="214" t="s">
        <v>29</v>
      </c>
      <c r="B31" s="219" t="s">
        <v>228</v>
      </c>
      <c r="C31" s="216">
        <v>8.0</v>
      </c>
      <c r="D31" s="216">
        <v>32.0</v>
      </c>
      <c r="E31" s="216">
        <v>0.0</v>
      </c>
      <c r="F31" s="216">
        <v>0.0</v>
      </c>
      <c r="G31" s="216">
        <v>0.0</v>
      </c>
      <c r="H31" s="216">
        <v>0.0</v>
      </c>
      <c r="I31" s="216">
        <v>0.0</v>
      </c>
      <c r="J31" s="216">
        <v>0.0</v>
      </c>
      <c r="K31" s="217">
        <v>32.0</v>
      </c>
      <c r="L31" s="224">
        <v>8.0</v>
      </c>
      <c r="M31" s="218">
        <v>40.0</v>
      </c>
      <c r="N31" s="225"/>
    </row>
    <row r="32">
      <c r="A32" s="43" t="s">
        <v>29</v>
      </c>
      <c r="B32" s="110" t="s">
        <v>230</v>
      </c>
      <c r="C32" s="33">
        <v>0.0</v>
      </c>
      <c r="D32" s="33">
        <v>12.0</v>
      </c>
      <c r="E32" s="33">
        <v>9.0</v>
      </c>
      <c r="F32" s="33">
        <v>0.0</v>
      </c>
      <c r="G32" s="33">
        <v>10.0</v>
      </c>
      <c r="H32" s="33">
        <v>0.0</v>
      </c>
      <c r="I32" s="33">
        <v>0.0</v>
      </c>
      <c r="J32" s="33">
        <v>0.0</v>
      </c>
      <c r="K32" s="195">
        <v>33.0</v>
      </c>
      <c r="L32" s="76">
        <v>38.0</v>
      </c>
      <c r="M32" s="41">
        <v>71.0</v>
      </c>
      <c r="N32" s="44" t="s">
        <v>196</v>
      </c>
    </row>
    <row r="33">
      <c r="A33" s="214" t="s">
        <v>29</v>
      </c>
      <c r="B33" s="219" t="s">
        <v>232</v>
      </c>
      <c r="C33" s="216">
        <v>0.0</v>
      </c>
      <c r="D33" s="216">
        <v>24.0</v>
      </c>
      <c r="E33" s="216">
        <v>4.0</v>
      </c>
      <c r="F33" s="216">
        <v>0.0</v>
      </c>
      <c r="G33" s="216">
        <v>0.0</v>
      </c>
      <c r="H33" s="216">
        <v>0.0</v>
      </c>
      <c r="I33" s="216">
        <v>0.0</v>
      </c>
      <c r="J33" s="216">
        <v>0.0</v>
      </c>
      <c r="K33" s="217">
        <v>28.0</v>
      </c>
      <c r="L33" s="224">
        <v>0.0</v>
      </c>
      <c r="M33" s="218">
        <v>28.0</v>
      </c>
      <c r="N33" s="225"/>
    </row>
    <row r="34">
      <c r="A34" s="43" t="s">
        <v>29</v>
      </c>
      <c r="B34" s="110" t="s">
        <v>234</v>
      </c>
      <c r="C34" s="33">
        <v>0.0</v>
      </c>
      <c r="D34" s="33">
        <v>48.0</v>
      </c>
      <c r="E34" s="33">
        <v>18.0</v>
      </c>
      <c r="F34" s="33">
        <v>0.0</v>
      </c>
      <c r="G34" s="33">
        <v>0.0</v>
      </c>
      <c r="H34" s="33">
        <v>0.0</v>
      </c>
      <c r="I34" s="33">
        <v>0.0</v>
      </c>
      <c r="J34" s="33">
        <v>0.0</v>
      </c>
      <c r="K34" s="195">
        <v>60.0</v>
      </c>
      <c r="L34" s="76">
        <v>46.0</v>
      </c>
      <c r="M34" s="41">
        <v>106.0</v>
      </c>
      <c r="N34" s="112" t="s">
        <v>118</v>
      </c>
    </row>
    <row r="35">
      <c r="A35" s="43" t="s">
        <v>29</v>
      </c>
      <c r="B35" s="110" t="s">
        <v>236</v>
      </c>
      <c r="C35" s="33">
        <v>0.0</v>
      </c>
      <c r="D35" s="33">
        <v>48.0</v>
      </c>
      <c r="E35" s="33">
        <v>26.0</v>
      </c>
      <c r="F35" s="33">
        <v>0.0</v>
      </c>
      <c r="G35" s="33">
        <v>0.0</v>
      </c>
      <c r="H35" s="33">
        <v>0.0</v>
      </c>
      <c r="I35" s="33">
        <v>0.0</v>
      </c>
      <c r="J35" s="33">
        <v>1.0</v>
      </c>
      <c r="K35" s="195">
        <v>45.0</v>
      </c>
      <c r="L35" s="226">
        <v>30.0</v>
      </c>
      <c r="M35" s="103">
        <v>75.0</v>
      </c>
      <c r="N35" s="104"/>
    </row>
    <row r="36">
      <c r="A36" s="214" t="s">
        <v>29</v>
      </c>
      <c r="B36" s="219" t="s">
        <v>238</v>
      </c>
      <c r="C36" s="216">
        <v>0.0</v>
      </c>
      <c r="D36" s="216">
        <v>28.0</v>
      </c>
      <c r="E36" s="216">
        <v>14.0</v>
      </c>
      <c r="F36" s="216">
        <v>0.0</v>
      </c>
      <c r="G36" s="216">
        <v>4.0</v>
      </c>
      <c r="H36" s="216">
        <v>0.0</v>
      </c>
      <c r="I36" s="216">
        <v>0.0</v>
      </c>
      <c r="J36" s="216">
        <v>0.0</v>
      </c>
      <c r="K36" s="217">
        <v>62.0</v>
      </c>
      <c r="L36" s="224">
        <v>24.0</v>
      </c>
      <c r="M36" s="218">
        <v>86.0</v>
      </c>
      <c r="N36" s="227" t="s">
        <v>42</v>
      </c>
    </row>
    <row r="37">
      <c r="A37" s="214" t="s">
        <v>29</v>
      </c>
      <c r="B37" s="219" t="s">
        <v>240</v>
      </c>
      <c r="C37" s="216">
        <v>0.0</v>
      </c>
      <c r="D37" s="216">
        <v>16.0</v>
      </c>
      <c r="E37" s="216">
        <v>82.0</v>
      </c>
      <c r="F37" s="216">
        <v>0.0</v>
      </c>
      <c r="G37" s="216">
        <v>0.0</v>
      </c>
      <c r="H37" s="216">
        <v>0.0</v>
      </c>
      <c r="I37" s="216">
        <v>0.0</v>
      </c>
      <c r="J37" s="216">
        <v>0.0</v>
      </c>
      <c r="K37" s="217">
        <v>80.0</v>
      </c>
      <c r="L37" s="224">
        <v>18.0</v>
      </c>
      <c r="M37" s="218">
        <v>98.0</v>
      </c>
      <c r="N37" s="225"/>
    </row>
    <row r="38">
      <c r="A38" s="43" t="s">
        <v>29</v>
      </c>
      <c r="B38" s="110" t="s">
        <v>242</v>
      </c>
      <c r="C38" s="33">
        <v>0.0</v>
      </c>
      <c r="D38" s="33">
        <v>72.0</v>
      </c>
      <c r="E38" s="33">
        <v>22.0</v>
      </c>
      <c r="F38" s="33">
        <v>0.0</v>
      </c>
      <c r="G38" s="33">
        <v>0.0</v>
      </c>
      <c r="H38" s="33">
        <v>0.0</v>
      </c>
      <c r="I38" s="33">
        <v>0.0</v>
      </c>
      <c r="J38" s="33">
        <v>0.0</v>
      </c>
      <c r="K38" s="195">
        <v>56.0</v>
      </c>
      <c r="L38" s="226">
        <v>38.0</v>
      </c>
      <c r="M38" s="103">
        <v>94.0</v>
      </c>
      <c r="N38" s="104"/>
    </row>
    <row r="39">
      <c r="A39" s="214" t="s">
        <v>29</v>
      </c>
      <c r="B39" s="219" t="s">
        <v>244</v>
      </c>
      <c r="C39" s="216">
        <v>0.0</v>
      </c>
      <c r="D39" s="216">
        <v>52.0</v>
      </c>
      <c r="E39" s="216">
        <v>10.0</v>
      </c>
      <c r="F39" s="216">
        <v>0.0</v>
      </c>
      <c r="G39" s="216">
        <v>0.0</v>
      </c>
      <c r="H39" s="216">
        <v>0.0</v>
      </c>
      <c r="I39" s="216">
        <v>0.0</v>
      </c>
      <c r="J39" s="216">
        <v>0.0</v>
      </c>
      <c r="K39" s="217">
        <v>58.0</v>
      </c>
      <c r="L39" s="224">
        <v>4.0</v>
      </c>
      <c r="M39" s="218">
        <v>62.0</v>
      </c>
      <c r="N39" s="225"/>
    </row>
    <row r="40">
      <c r="A40" s="214" t="s">
        <v>29</v>
      </c>
      <c r="B40" s="219" t="s">
        <v>246</v>
      </c>
      <c r="C40" s="216">
        <v>0.0</v>
      </c>
      <c r="D40" s="216">
        <v>24.0</v>
      </c>
      <c r="E40" s="216">
        <v>4.0</v>
      </c>
      <c r="F40" s="216">
        <v>0.0</v>
      </c>
      <c r="G40" s="216">
        <v>0.0</v>
      </c>
      <c r="H40" s="216">
        <v>0.0</v>
      </c>
      <c r="I40" s="216">
        <v>0.0</v>
      </c>
      <c r="J40" s="216">
        <v>0.0</v>
      </c>
      <c r="K40" s="217">
        <v>28.0</v>
      </c>
      <c r="L40" s="224">
        <v>0.0</v>
      </c>
      <c r="M40" s="218">
        <v>28.0</v>
      </c>
      <c r="N40" s="225"/>
    </row>
    <row r="41">
      <c r="A41" s="214" t="s">
        <v>29</v>
      </c>
      <c r="B41" s="219" t="s">
        <v>248</v>
      </c>
      <c r="C41" s="216">
        <v>8.0</v>
      </c>
      <c r="D41" s="216">
        <v>20.0</v>
      </c>
      <c r="E41" s="216">
        <v>0.0</v>
      </c>
      <c r="F41" s="216">
        <v>0.0</v>
      </c>
      <c r="G41" s="216">
        <v>4.0</v>
      </c>
      <c r="H41" s="216">
        <v>0.0</v>
      </c>
      <c r="I41" s="216">
        <v>0.0</v>
      </c>
      <c r="J41" s="216">
        <v>0.0</v>
      </c>
      <c r="K41" s="217">
        <v>28.0</v>
      </c>
      <c r="L41" s="224">
        <v>4.0</v>
      </c>
      <c r="M41" s="218">
        <v>32.0</v>
      </c>
      <c r="N41" s="225"/>
    </row>
    <row r="42">
      <c r="A42" s="43" t="s">
        <v>29</v>
      </c>
      <c r="B42" s="110" t="s">
        <v>250</v>
      </c>
      <c r="C42" s="33">
        <v>0.0</v>
      </c>
      <c r="D42" s="33">
        <v>0.0</v>
      </c>
      <c r="E42" s="33">
        <v>62.0</v>
      </c>
      <c r="F42" s="33">
        <v>0.0</v>
      </c>
      <c r="G42" s="33">
        <v>0.0</v>
      </c>
      <c r="H42" s="33">
        <v>0.0</v>
      </c>
      <c r="I42" s="33">
        <v>0.0</v>
      </c>
      <c r="J42" s="33">
        <v>4.0</v>
      </c>
      <c r="K42" s="193">
        <v>34.0</v>
      </c>
      <c r="L42" s="76">
        <v>32.0</v>
      </c>
      <c r="M42" s="41">
        <v>66.0</v>
      </c>
      <c r="N42" s="104"/>
    </row>
    <row r="43">
      <c r="A43" s="214" t="s">
        <v>29</v>
      </c>
      <c r="B43" s="219" t="s">
        <v>252</v>
      </c>
      <c r="C43" s="216">
        <v>0.0</v>
      </c>
      <c r="D43" s="216">
        <v>36.0</v>
      </c>
      <c r="E43" s="216">
        <v>0.0</v>
      </c>
      <c r="F43" s="216">
        <v>0.0</v>
      </c>
      <c r="G43" s="216">
        <v>0.0</v>
      </c>
      <c r="H43" s="216">
        <v>0.0</v>
      </c>
      <c r="I43" s="216">
        <v>0.0</v>
      </c>
      <c r="J43" s="216">
        <v>0.0</v>
      </c>
      <c r="K43" s="217">
        <v>56.0</v>
      </c>
      <c r="L43" s="224">
        <v>20.0</v>
      </c>
      <c r="M43" s="218">
        <v>76.0</v>
      </c>
      <c r="N43" s="227" t="s">
        <v>118</v>
      </c>
    </row>
    <row r="44">
      <c r="A44" s="214" t="s">
        <v>29</v>
      </c>
      <c r="B44" s="219" t="s">
        <v>254</v>
      </c>
      <c r="C44" s="216">
        <v>0.0</v>
      </c>
      <c r="D44" s="216">
        <v>22.0</v>
      </c>
      <c r="E44" s="216">
        <v>0.0</v>
      </c>
      <c r="F44" s="216">
        <v>0.0</v>
      </c>
      <c r="G44" s="216">
        <v>0.0</v>
      </c>
      <c r="H44" s="216">
        <v>2.0</v>
      </c>
      <c r="I44" s="216">
        <v>1.0</v>
      </c>
      <c r="J44" s="216">
        <v>1.0</v>
      </c>
      <c r="K44" s="217">
        <v>26.0</v>
      </c>
      <c r="L44" s="224">
        <v>0.0</v>
      </c>
      <c r="M44" s="218">
        <v>26.0</v>
      </c>
      <c r="N44" s="225"/>
    </row>
    <row r="45">
      <c r="A45" s="214" t="s">
        <v>29</v>
      </c>
      <c r="B45" s="219" t="s">
        <v>256</v>
      </c>
      <c r="C45" s="216">
        <v>24.0</v>
      </c>
      <c r="D45" s="216">
        <v>4.0</v>
      </c>
      <c r="E45" s="216">
        <v>1.0</v>
      </c>
      <c r="F45" s="216">
        <v>0.0</v>
      </c>
      <c r="G45" s="216">
        <v>4.0</v>
      </c>
      <c r="H45" s="216">
        <v>8.0</v>
      </c>
      <c r="I45" s="216">
        <v>2.0</v>
      </c>
      <c r="J45" s="216">
        <v>2.0</v>
      </c>
      <c r="K45" s="217">
        <v>25.0</v>
      </c>
      <c r="L45" s="224">
        <v>20.0</v>
      </c>
      <c r="M45" s="218">
        <v>45.0</v>
      </c>
      <c r="N45" s="225"/>
    </row>
    <row r="46">
      <c r="A46" s="214" t="s">
        <v>29</v>
      </c>
      <c r="B46" s="219" t="s">
        <v>258</v>
      </c>
      <c r="C46" s="216">
        <v>0.0</v>
      </c>
      <c r="D46" s="216">
        <v>32.0</v>
      </c>
      <c r="E46" s="216">
        <v>0.0</v>
      </c>
      <c r="F46" s="216">
        <v>0.0</v>
      </c>
      <c r="G46" s="216">
        <v>0.0</v>
      </c>
      <c r="H46" s="216">
        <v>12.0</v>
      </c>
      <c r="I46" s="216">
        <v>2.0</v>
      </c>
      <c r="J46" s="216">
        <v>0.0</v>
      </c>
      <c r="K46" s="217">
        <v>22.0</v>
      </c>
      <c r="L46" s="224">
        <v>24.0</v>
      </c>
      <c r="M46" s="218">
        <v>46.0</v>
      </c>
      <c r="N46" s="225"/>
    </row>
    <row r="47">
      <c r="A47" s="214" t="s">
        <v>29</v>
      </c>
      <c r="B47" s="219" t="s">
        <v>260</v>
      </c>
      <c r="C47" s="216">
        <v>8.0</v>
      </c>
      <c r="D47" s="216">
        <v>20.0</v>
      </c>
      <c r="E47" s="216">
        <v>0.0</v>
      </c>
      <c r="F47" s="216">
        <v>0.0</v>
      </c>
      <c r="G47" s="216">
        <v>0.0</v>
      </c>
      <c r="H47" s="216">
        <v>0.0</v>
      </c>
      <c r="I47" s="216">
        <v>0.0</v>
      </c>
      <c r="J47" s="216">
        <v>0.0</v>
      </c>
      <c r="K47" s="217">
        <v>28.0</v>
      </c>
      <c r="L47" s="224">
        <v>0.0</v>
      </c>
      <c r="M47" s="218">
        <v>28.0</v>
      </c>
      <c r="N47" s="225"/>
    </row>
    <row r="48">
      <c r="A48" s="43" t="s">
        <v>29</v>
      </c>
      <c r="B48" s="110" t="s">
        <v>262</v>
      </c>
      <c r="C48" s="33">
        <v>16.0</v>
      </c>
      <c r="D48" s="33">
        <v>35.0</v>
      </c>
      <c r="E48" s="33">
        <v>5.0</v>
      </c>
      <c r="F48" s="33">
        <v>0.0</v>
      </c>
      <c r="G48" s="33">
        <v>0.0</v>
      </c>
      <c r="H48" s="33">
        <v>1.0</v>
      </c>
      <c r="I48" s="33">
        <v>0.0</v>
      </c>
      <c r="J48" s="33">
        <v>0.0</v>
      </c>
      <c r="K48" s="193">
        <v>32.0</v>
      </c>
      <c r="L48" s="76">
        <v>25.0</v>
      </c>
      <c r="M48" s="41">
        <v>57.0</v>
      </c>
      <c r="N48" s="104"/>
    </row>
    <row r="49">
      <c r="A49" s="214" t="s">
        <v>29</v>
      </c>
      <c r="B49" s="219" t="s">
        <v>264</v>
      </c>
      <c r="C49" s="216">
        <v>8.0</v>
      </c>
      <c r="D49" s="216">
        <v>20.0</v>
      </c>
      <c r="E49" s="216">
        <v>0.0</v>
      </c>
      <c r="F49" s="216">
        <v>0.0</v>
      </c>
      <c r="G49" s="216">
        <v>0.0</v>
      </c>
      <c r="H49" s="216">
        <v>0.0</v>
      </c>
      <c r="I49" s="216">
        <v>0.0</v>
      </c>
      <c r="J49" s="216">
        <v>0.0</v>
      </c>
      <c r="K49" s="217">
        <v>28.0</v>
      </c>
      <c r="L49" s="224">
        <v>0.0</v>
      </c>
      <c r="M49" s="218">
        <v>28.0</v>
      </c>
      <c r="N49" s="225"/>
    </row>
    <row r="50">
      <c r="A50" s="43" t="s">
        <v>29</v>
      </c>
      <c r="B50" s="110" t="s">
        <v>266</v>
      </c>
      <c r="C50" s="33">
        <v>8.0</v>
      </c>
      <c r="D50" s="33">
        <v>27.0</v>
      </c>
      <c r="E50" s="33">
        <v>46.0</v>
      </c>
      <c r="F50" s="33">
        <v>0.0</v>
      </c>
      <c r="G50" s="33">
        <v>0.0</v>
      </c>
      <c r="H50" s="33">
        <v>0.0</v>
      </c>
      <c r="I50" s="33">
        <v>0.0</v>
      </c>
      <c r="J50" s="33">
        <v>0.0</v>
      </c>
      <c r="K50" s="195">
        <v>51.0</v>
      </c>
      <c r="L50" s="226">
        <v>30.0</v>
      </c>
      <c r="M50" s="103">
        <v>81.0</v>
      </c>
      <c r="N50" s="104"/>
    </row>
    <row r="51">
      <c r="A51" s="214" t="s">
        <v>29</v>
      </c>
      <c r="B51" s="219" t="s">
        <v>268</v>
      </c>
      <c r="C51" s="216">
        <v>0.0</v>
      </c>
      <c r="D51" s="216">
        <v>16.0</v>
      </c>
      <c r="E51" s="216">
        <v>0.0</v>
      </c>
      <c r="F51" s="216">
        <v>0.0</v>
      </c>
      <c r="G51" s="216">
        <v>0.0</v>
      </c>
      <c r="H51" s="216">
        <v>0.0</v>
      </c>
      <c r="I51" s="216">
        <v>0.0</v>
      </c>
      <c r="J51" s="216">
        <v>0.0</v>
      </c>
      <c r="K51" s="217">
        <v>36.0</v>
      </c>
      <c r="L51" s="224">
        <v>20.0</v>
      </c>
      <c r="M51" s="218">
        <v>56.0</v>
      </c>
      <c r="N51" s="227" t="s">
        <v>42</v>
      </c>
    </row>
    <row r="52">
      <c r="A52" s="214" t="s">
        <v>29</v>
      </c>
      <c r="B52" s="219" t="s">
        <v>270</v>
      </c>
      <c r="C52" s="216">
        <v>0.0</v>
      </c>
      <c r="D52" s="216">
        <v>63.0</v>
      </c>
      <c r="E52" s="216">
        <v>48.0</v>
      </c>
      <c r="F52" s="216">
        <v>0.0</v>
      </c>
      <c r="G52" s="216">
        <v>12.0</v>
      </c>
      <c r="H52" s="216">
        <v>0.0</v>
      </c>
      <c r="I52" s="216">
        <v>0.0</v>
      </c>
      <c r="J52" s="216">
        <v>0.0</v>
      </c>
      <c r="K52" s="217">
        <v>123.0</v>
      </c>
      <c r="L52" s="224">
        <v>0.0</v>
      </c>
      <c r="M52" s="218">
        <v>123.0</v>
      </c>
      <c r="N52" s="225"/>
    </row>
    <row r="53">
      <c r="A53" s="214" t="s">
        <v>29</v>
      </c>
      <c r="B53" s="219" t="s">
        <v>272</v>
      </c>
      <c r="C53" s="216">
        <v>8.0</v>
      </c>
      <c r="D53" s="216">
        <v>20.0</v>
      </c>
      <c r="E53" s="216">
        <v>0.0</v>
      </c>
      <c r="F53" s="216">
        <v>0.0</v>
      </c>
      <c r="G53" s="216">
        <v>0.0</v>
      </c>
      <c r="H53" s="216">
        <v>0.0</v>
      </c>
      <c r="I53" s="216">
        <v>0.0</v>
      </c>
      <c r="J53" s="216">
        <v>0.0</v>
      </c>
      <c r="K53" s="217">
        <v>28.0</v>
      </c>
      <c r="L53" s="224">
        <v>0.0</v>
      </c>
      <c r="M53" s="218">
        <v>28.0</v>
      </c>
      <c r="N53" s="225"/>
    </row>
    <row r="54">
      <c r="A54" s="214" t="s">
        <v>29</v>
      </c>
      <c r="B54" s="219" t="s">
        <v>274</v>
      </c>
      <c r="C54" s="216">
        <v>0.0</v>
      </c>
      <c r="D54" s="216">
        <v>40.0</v>
      </c>
      <c r="E54" s="216">
        <v>0.0</v>
      </c>
      <c r="F54" s="216">
        <v>0.0</v>
      </c>
      <c r="G54" s="216">
        <v>0.0</v>
      </c>
      <c r="H54" s="216">
        <v>0.0</v>
      </c>
      <c r="I54" s="216">
        <v>0.0</v>
      </c>
      <c r="J54" s="216">
        <v>0.0</v>
      </c>
      <c r="K54" s="217">
        <v>40.0</v>
      </c>
      <c r="L54" s="224">
        <v>0.0</v>
      </c>
      <c r="M54" s="218">
        <v>40.0</v>
      </c>
      <c r="N54" s="225"/>
    </row>
    <row r="55">
      <c r="A55" s="214" t="s">
        <v>29</v>
      </c>
      <c r="B55" s="219" t="s">
        <v>276</v>
      </c>
      <c r="C55" s="216">
        <v>0.0</v>
      </c>
      <c r="D55" s="216">
        <v>20.0</v>
      </c>
      <c r="E55" s="216">
        <v>16.0</v>
      </c>
      <c r="F55" s="216">
        <v>0.0</v>
      </c>
      <c r="G55" s="216">
        <v>0.0</v>
      </c>
      <c r="H55" s="216">
        <v>0.0</v>
      </c>
      <c r="I55" s="216">
        <v>0.0</v>
      </c>
      <c r="J55" s="216">
        <v>0.0</v>
      </c>
      <c r="K55" s="217">
        <v>56.0</v>
      </c>
      <c r="L55" s="224">
        <v>20.0</v>
      </c>
      <c r="M55" s="218">
        <v>76.0</v>
      </c>
      <c r="N55" s="227" t="s">
        <v>42</v>
      </c>
    </row>
    <row r="56">
      <c r="A56" s="214" t="s">
        <v>29</v>
      </c>
      <c r="B56" s="219" t="s">
        <v>278</v>
      </c>
      <c r="C56" s="216">
        <v>0.0</v>
      </c>
      <c r="D56" s="216">
        <v>8.0</v>
      </c>
      <c r="E56" s="216">
        <v>0.0</v>
      </c>
      <c r="F56" s="216">
        <v>0.0</v>
      </c>
      <c r="G56" s="216">
        <v>0.0</v>
      </c>
      <c r="H56" s="216">
        <v>0.0</v>
      </c>
      <c r="I56" s="216">
        <v>0.0</v>
      </c>
      <c r="J56" s="216">
        <v>0.0</v>
      </c>
      <c r="K56" s="217">
        <v>28.0</v>
      </c>
      <c r="L56" s="224">
        <v>20.0</v>
      </c>
      <c r="M56" s="218">
        <v>48.0</v>
      </c>
      <c r="N56" s="227" t="s">
        <v>196</v>
      </c>
    </row>
    <row r="57">
      <c r="A57" s="214" t="s">
        <v>29</v>
      </c>
      <c r="B57" s="219" t="s">
        <v>280</v>
      </c>
      <c r="C57" s="216">
        <v>0.0</v>
      </c>
      <c r="D57" s="216">
        <v>16.0</v>
      </c>
      <c r="E57" s="216">
        <v>56.0</v>
      </c>
      <c r="F57" s="216">
        <v>0.0</v>
      </c>
      <c r="G57" s="216">
        <v>0.0</v>
      </c>
      <c r="H57" s="216">
        <v>0.0</v>
      </c>
      <c r="I57" s="216">
        <v>0.0</v>
      </c>
      <c r="J57" s="216">
        <v>0.0</v>
      </c>
      <c r="K57" s="217">
        <v>52.0</v>
      </c>
      <c r="L57" s="224">
        <v>20.0</v>
      </c>
      <c r="M57" s="218">
        <v>72.0</v>
      </c>
      <c r="N57" s="225"/>
    </row>
    <row r="58">
      <c r="A58" s="214" t="s">
        <v>29</v>
      </c>
      <c r="B58" s="219" t="s">
        <v>282</v>
      </c>
      <c r="C58" s="216">
        <v>0.0</v>
      </c>
      <c r="D58" s="216">
        <v>0.0</v>
      </c>
      <c r="E58" s="216">
        <v>52.0</v>
      </c>
      <c r="F58" s="216">
        <v>0.0</v>
      </c>
      <c r="G58" s="216">
        <v>0.0</v>
      </c>
      <c r="H58" s="216">
        <v>0.0</v>
      </c>
      <c r="I58" s="216">
        <v>0.0</v>
      </c>
      <c r="J58" s="216">
        <v>0.0</v>
      </c>
      <c r="K58" s="217">
        <v>52.0</v>
      </c>
      <c r="L58" s="224">
        <v>0.0</v>
      </c>
      <c r="M58" s="218">
        <v>52.0</v>
      </c>
      <c r="N58" s="225"/>
    </row>
    <row r="59">
      <c r="A59" s="214" t="s">
        <v>29</v>
      </c>
      <c r="B59" s="219" t="s">
        <v>284</v>
      </c>
      <c r="C59" s="216">
        <v>8.0</v>
      </c>
      <c r="D59" s="216">
        <v>16.0</v>
      </c>
      <c r="E59" s="216">
        <v>4.0</v>
      </c>
      <c r="F59" s="216">
        <v>0.0</v>
      </c>
      <c r="G59" s="216">
        <v>0.0</v>
      </c>
      <c r="H59" s="216">
        <v>0.0</v>
      </c>
      <c r="I59" s="216">
        <v>0.0</v>
      </c>
      <c r="J59" s="216">
        <v>1.0</v>
      </c>
      <c r="K59" s="217">
        <v>29.0</v>
      </c>
      <c r="L59" s="224">
        <v>0.0</v>
      </c>
      <c r="M59" s="218">
        <v>29.0</v>
      </c>
      <c r="N59" s="225"/>
    </row>
    <row r="60">
      <c r="A60" s="43" t="s">
        <v>29</v>
      </c>
      <c r="B60" s="110" t="s">
        <v>286</v>
      </c>
      <c r="C60" s="33">
        <v>0.0</v>
      </c>
      <c r="D60" s="33">
        <v>40.0</v>
      </c>
      <c r="E60" s="33">
        <v>42.0</v>
      </c>
      <c r="F60" s="33">
        <v>0.0</v>
      </c>
      <c r="G60" s="33">
        <v>0.0</v>
      </c>
      <c r="H60" s="33">
        <v>0.0</v>
      </c>
      <c r="I60" s="33">
        <v>0.0</v>
      </c>
      <c r="J60" s="33">
        <v>0.0</v>
      </c>
      <c r="K60" s="193">
        <v>72.0</v>
      </c>
      <c r="L60" s="76">
        <v>50.0</v>
      </c>
      <c r="M60" s="41">
        <v>122.0</v>
      </c>
      <c r="N60" s="44" t="s">
        <v>47</v>
      </c>
    </row>
    <row r="61">
      <c r="A61" s="214" t="s">
        <v>29</v>
      </c>
      <c r="B61" s="219" t="s">
        <v>288</v>
      </c>
      <c r="C61" s="216">
        <v>0.0</v>
      </c>
      <c r="D61" s="216">
        <v>0.0</v>
      </c>
      <c r="E61" s="216">
        <v>8.0</v>
      </c>
      <c r="F61" s="216">
        <v>0.0</v>
      </c>
      <c r="G61" s="216">
        <v>0.0</v>
      </c>
      <c r="H61" s="216">
        <v>0.0</v>
      </c>
      <c r="I61" s="216">
        <v>0.0</v>
      </c>
      <c r="J61" s="216">
        <v>0.0</v>
      </c>
      <c r="K61" s="217">
        <v>28.0</v>
      </c>
      <c r="L61" s="224">
        <v>20.0</v>
      </c>
      <c r="M61" s="218">
        <v>48.0</v>
      </c>
      <c r="N61" s="228" t="s">
        <v>196</v>
      </c>
    </row>
    <row r="62">
      <c r="A62" s="214" t="s">
        <v>29</v>
      </c>
      <c r="B62" s="219" t="s">
        <v>290</v>
      </c>
      <c r="C62" s="216">
        <v>8.0</v>
      </c>
      <c r="D62" s="216">
        <v>8.0</v>
      </c>
      <c r="E62" s="216">
        <v>16.0</v>
      </c>
      <c r="F62" s="216">
        <v>0.0</v>
      </c>
      <c r="G62" s="216">
        <v>4.0</v>
      </c>
      <c r="H62" s="216">
        <v>7.0</v>
      </c>
      <c r="I62" s="216">
        <v>0.0</v>
      </c>
      <c r="J62" s="216">
        <v>1.0</v>
      </c>
      <c r="K62" s="217">
        <v>44.0</v>
      </c>
      <c r="L62" s="224">
        <v>0.0</v>
      </c>
      <c r="M62" s="218">
        <v>44.0</v>
      </c>
      <c r="N62" s="225"/>
    </row>
    <row r="63">
      <c r="A63" s="214" t="s">
        <v>29</v>
      </c>
      <c r="B63" s="219" t="s">
        <v>292</v>
      </c>
      <c r="C63" s="216">
        <v>0.0</v>
      </c>
      <c r="D63" s="216">
        <v>44.0</v>
      </c>
      <c r="E63" s="216">
        <v>0.0</v>
      </c>
      <c r="F63" s="216">
        <v>0.0</v>
      </c>
      <c r="G63" s="216">
        <v>0.0</v>
      </c>
      <c r="H63" s="216">
        <v>0.0</v>
      </c>
      <c r="I63" s="216">
        <v>0.0</v>
      </c>
      <c r="J63" s="216">
        <v>0.0</v>
      </c>
      <c r="K63" s="217">
        <v>64.0</v>
      </c>
      <c r="L63" s="224">
        <v>20.0</v>
      </c>
      <c r="M63" s="218">
        <v>84.0</v>
      </c>
      <c r="N63" s="227" t="s">
        <v>47</v>
      </c>
    </row>
    <row r="64">
      <c r="A64" s="43" t="s">
        <v>29</v>
      </c>
      <c r="B64" s="110" t="s">
        <v>294</v>
      </c>
      <c r="C64" s="33">
        <v>0.0</v>
      </c>
      <c r="D64" s="33">
        <v>44.0</v>
      </c>
      <c r="E64" s="33">
        <v>26.0</v>
      </c>
      <c r="F64" s="33">
        <v>0.0</v>
      </c>
      <c r="G64" s="33">
        <v>0.0</v>
      </c>
      <c r="H64" s="33">
        <v>0.0</v>
      </c>
      <c r="I64" s="33">
        <v>0.0</v>
      </c>
      <c r="J64" s="33">
        <v>0.0</v>
      </c>
      <c r="K64" s="195">
        <v>36.0</v>
      </c>
      <c r="L64" s="226">
        <v>34.0</v>
      </c>
      <c r="M64" s="103">
        <v>70.0</v>
      </c>
      <c r="N64" s="104"/>
    </row>
    <row r="65">
      <c r="A65" s="214" t="s">
        <v>29</v>
      </c>
      <c r="B65" s="219" t="s">
        <v>296</v>
      </c>
      <c r="C65" s="216">
        <v>0.0</v>
      </c>
      <c r="D65" s="216">
        <v>29.0</v>
      </c>
      <c r="E65" s="216">
        <v>7.0</v>
      </c>
      <c r="F65" s="216">
        <v>0.0</v>
      </c>
      <c r="G65" s="216">
        <v>0.0</v>
      </c>
      <c r="H65" s="216">
        <v>0.0</v>
      </c>
      <c r="I65" s="216">
        <v>0.0</v>
      </c>
      <c r="J65" s="216">
        <v>0.0</v>
      </c>
      <c r="K65" s="217">
        <v>36.0</v>
      </c>
      <c r="L65" s="224">
        <v>0.0</v>
      </c>
      <c r="M65" s="218">
        <v>36.0</v>
      </c>
      <c r="N65" s="225"/>
    </row>
    <row r="66">
      <c r="A66" s="235" t="s">
        <v>29</v>
      </c>
      <c r="B66" s="236" t="s">
        <v>298</v>
      </c>
      <c r="C66" s="237">
        <v>0.0</v>
      </c>
      <c r="D66" s="237">
        <v>32.0</v>
      </c>
      <c r="E66" s="237">
        <v>0.0</v>
      </c>
      <c r="F66" s="237">
        <v>0.0</v>
      </c>
      <c r="G66" s="237">
        <v>0.0</v>
      </c>
      <c r="H66" s="237">
        <v>0.0</v>
      </c>
      <c r="I66" s="237">
        <v>0.0</v>
      </c>
      <c r="J66" s="237">
        <v>0.0</v>
      </c>
      <c r="K66" s="217">
        <v>52.0</v>
      </c>
      <c r="L66" s="238">
        <v>20.0</v>
      </c>
      <c r="M66" s="239">
        <v>72.0</v>
      </c>
      <c r="N66" s="240" t="s">
        <v>118</v>
      </c>
    </row>
  </sheetData>
  <mergeCells count="4">
    <mergeCell ref="B1:B2"/>
    <mergeCell ref="C1:J1"/>
    <mergeCell ref="M1:M2"/>
    <mergeCell ref="N1:N2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